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oxfordnexus-my.sharepoint.com/personal/engs2116_ox_ac_uk/Documents/00_docs/07_teaching/2024_IECDT_RenewableEnergyWorkshop/"/>
    </mc:Choice>
  </mc:AlternateContent>
  <xr:revisionPtr revIDLastSave="10690" documentId="8_{89B3C3BB-7645-443D-BFC3-E66ED75437C2}" xr6:coauthVersionLast="47" xr6:coauthVersionMax="47" xr10:uidLastSave="{D8EA32DC-36D6-495B-BF8F-06A8E55FDDEB}"/>
  <bookViews>
    <workbookView xWindow="-110" yWindow="-110" windowWidth="25820" windowHeight="16220" activeTab="3" xr2:uid="{00000000-000D-0000-FFFF-FFFF00000000}"/>
  </bookViews>
  <sheets>
    <sheet name="BLD" sheetId="1" r:id="rId1"/>
    <sheet name="ARFL" sheetId="2" r:id="rId2"/>
    <sheet name="TipLoss" sheetId="4" r:id="rId3"/>
    <sheet name="Performance" sheetId="3" r:id="rId4"/>
    <sheet name="OpCurve" sheetId="5" r:id="rId5"/>
  </sheets>
  <definedNames>
    <definedName name="solver_adj" localSheetId="3" hidden="1">Performance!$G$13</definedName>
    <definedName name="solver_cvg" localSheetId="3" hidden="1">0.000001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Performance!$H$13</definedName>
    <definedName name="solver_pre" localSheetId="3" hidden="1">0.000001</definedName>
    <definedName name="solver_rbv" localSheetId="3" hidden="1">2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5" l="1"/>
  <c r="G20" i="5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E2" i="5"/>
  <c r="G5" i="5" s="1"/>
  <c r="B2" i="5"/>
  <c r="B14" i="3"/>
  <c r="B15" i="3" s="1"/>
  <c r="B16" i="3" s="1"/>
  <c r="B17" i="3" s="1"/>
  <c r="B18" i="3" s="1"/>
  <c r="B19" i="3" s="1"/>
  <c r="B20" i="3" s="1"/>
  <c r="B21" i="3" s="1"/>
  <c r="G4" i="5" l="1"/>
  <c r="G19" i="5"/>
  <c r="G11" i="5"/>
  <c r="G18" i="5"/>
  <c r="G10" i="5"/>
  <c r="G9" i="5"/>
  <c r="G24" i="5"/>
  <c r="G16" i="5"/>
  <c r="G8" i="5"/>
  <c r="G17" i="5"/>
  <c r="G23" i="5"/>
  <c r="G15" i="5"/>
  <c r="G7" i="5"/>
  <c r="G25" i="5"/>
  <c r="G22" i="5"/>
  <c r="G14" i="5"/>
  <c r="G6" i="5"/>
  <c r="G26" i="5"/>
  <c r="G21" i="5"/>
  <c r="G13" i="5"/>
  <c r="C12" i="5"/>
  <c r="D12" i="5" s="1"/>
  <c r="C10" i="5"/>
  <c r="D10" i="5" s="1"/>
  <c r="C26" i="5"/>
  <c r="D26" i="5" s="1"/>
  <c r="C9" i="5"/>
  <c r="D9" i="5" s="1"/>
  <c r="C25" i="5"/>
  <c r="D25" i="5" s="1"/>
  <c r="C17" i="5"/>
  <c r="D17" i="5" s="1"/>
  <c r="C8" i="5"/>
  <c r="D8" i="5" s="1"/>
  <c r="C18" i="5"/>
  <c r="D18" i="5" s="1"/>
  <c r="C24" i="5"/>
  <c r="D24" i="5" s="1"/>
  <c r="C16" i="5"/>
  <c r="D16" i="5" s="1"/>
  <c r="C7" i="5"/>
  <c r="D7" i="5" s="1"/>
  <c r="C23" i="5"/>
  <c r="D23" i="5" s="1"/>
  <c r="C22" i="5"/>
  <c r="D22" i="5" s="1"/>
  <c r="C14" i="5"/>
  <c r="D14" i="5" s="1"/>
  <c r="C5" i="5"/>
  <c r="D5" i="5" s="1"/>
  <c r="C19" i="5"/>
  <c r="D19" i="5" s="1"/>
  <c r="C15" i="5"/>
  <c r="D15" i="5" s="1"/>
  <c r="C6" i="5"/>
  <c r="D6" i="5" s="1"/>
  <c r="C21" i="5"/>
  <c r="D21" i="5" s="1"/>
  <c r="C13" i="5"/>
  <c r="D13" i="5" s="1"/>
  <c r="C20" i="5"/>
  <c r="D20" i="5" s="1"/>
  <c r="C11" i="5"/>
  <c r="D11" i="5" s="1"/>
  <c r="B5" i="3"/>
  <c r="B9" i="3" s="1"/>
  <c r="D2" i="4"/>
  <c r="B2" i="4"/>
  <c r="B4" i="4"/>
  <c r="A5" i="4"/>
  <c r="A6" i="4"/>
  <c r="A7" i="4"/>
  <c r="A8" i="4"/>
  <c r="A9" i="4"/>
  <c r="A10" i="4"/>
  <c r="A11" i="4"/>
  <c r="A12" i="4"/>
  <c r="A4" i="4"/>
  <c r="D14" i="3"/>
  <c r="D15" i="3"/>
  <c r="D16" i="3"/>
  <c r="D17" i="3"/>
  <c r="D18" i="3"/>
  <c r="D19" i="3"/>
  <c r="D20" i="3"/>
  <c r="D21" i="3"/>
  <c r="D13" i="3"/>
  <c r="B25" i="3" s="1"/>
  <c r="C14" i="3"/>
  <c r="C15" i="3"/>
  <c r="E15" i="3" s="1"/>
  <c r="C16" i="3"/>
  <c r="C17" i="3"/>
  <c r="C18" i="3"/>
  <c r="C19" i="3"/>
  <c r="C20" i="3"/>
  <c r="C21" i="3"/>
  <c r="C13" i="3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" i="1"/>
  <c r="E13" i="3" l="1"/>
  <c r="B33" i="3"/>
  <c r="C33" i="3" s="1"/>
  <c r="B32" i="3"/>
  <c r="D32" i="3" s="1"/>
  <c r="B31" i="3"/>
  <c r="D31" i="3" s="1"/>
  <c r="B29" i="3"/>
  <c r="C29" i="3" s="1"/>
  <c r="B28" i="3"/>
  <c r="D28" i="3" s="1"/>
  <c r="B30" i="3"/>
  <c r="C30" i="3" s="1"/>
  <c r="B27" i="3"/>
  <c r="D27" i="3" s="1"/>
  <c r="B26" i="3"/>
  <c r="C26" i="3" s="1"/>
  <c r="B5" i="4"/>
  <c r="E4" i="4"/>
  <c r="C25" i="3"/>
  <c r="E16" i="3"/>
  <c r="E14" i="3"/>
  <c r="E21" i="3"/>
  <c r="E20" i="3"/>
  <c r="E19" i="3"/>
  <c r="E18" i="3"/>
  <c r="E17" i="3"/>
  <c r="D25" i="3"/>
  <c r="A32" i="3"/>
  <c r="A31" i="3"/>
  <c r="A29" i="3"/>
  <c r="A30" i="3"/>
  <c r="A28" i="3"/>
  <c r="A27" i="3"/>
  <c r="A26" i="3"/>
  <c r="A25" i="3"/>
  <c r="A33" i="3"/>
  <c r="D29" i="3" l="1"/>
  <c r="B41" i="3" s="1"/>
  <c r="D26" i="3"/>
  <c r="B38" i="3" s="1"/>
  <c r="D33" i="3"/>
  <c r="A45" i="3" s="1"/>
  <c r="C28" i="3"/>
  <c r="B40" i="3" s="1"/>
  <c r="D30" i="3"/>
  <c r="A42" i="3" s="1"/>
  <c r="C27" i="3"/>
  <c r="A39" i="3" s="1"/>
  <c r="C31" i="3"/>
  <c r="A43" i="3" s="1"/>
  <c r="C32" i="3"/>
  <c r="B44" i="3" s="1"/>
  <c r="E5" i="4"/>
  <c r="B6" i="4"/>
  <c r="A37" i="3"/>
  <c r="N13" i="3" s="1"/>
  <c r="P13" i="3" s="1"/>
  <c r="B37" i="3"/>
  <c r="O13" i="3" s="1"/>
  <c r="A41" i="3" l="1"/>
  <c r="J17" i="3" s="1"/>
  <c r="L17" i="3" s="1"/>
  <c r="A38" i="3"/>
  <c r="N14" i="3" s="1"/>
  <c r="P14" i="3" s="1"/>
  <c r="B45" i="3"/>
  <c r="O21" i="3" s="1"/>
  <c r="A40" i="3"/>
  <c r="N16" i="3" s="1"/>
  <c r="P16" i="3" s="1"/>
  <c r="B42" i="3"/>
  <c r="K18" i="3" s="1"/>
  <c r="M18" i="3" s="1"/>
  <c r="B43" i="3"/>
  <c r="K19" i="3" s="1"/>
  <c r="M19" i="3" s="1"/>
  <c r="N18" i="3"/>
  <c r="P18" i="3" s="1"/>
  <c r="J18" i="3"/>
  <c r="L18" i="3" s="1"/>
  <c r="J19" i="3"/>
  <c r="L19" i="3" s="1"/>
  <c r="N19" i="3"/>
  <c r="P19" i="3" s="1"/>
  <c r="J15" i="3"/>
  <c r="L15" i="3" s="1"/>
  <c r="N15" i="3"/>
  <c r="P15" i="3" s="1"/>
  <c r="B39" i="3"/>
  <c r="K15" i="3" s="1"/>
  <c r="M15" i="3" s="1"/>
  <c r="A44" i="3"/>
  <c r="B7" i="4"/>
  <c r="E6" i="4"/>
  <c r="C39" i="3" s="1"/>
  <c r="E39" i="3" s="1"/>
  <c r="J13" i="3"/>
  <c r="L13" i="3" s="1"/>
  <c r="N21" i="3"/>
  <c r="P21" i="3" s="1"/>
  <c r="K17" i="3"/>
  <c r="M17" i="3" s="1"/>
  <c r="O17" i="3"/>
  <c r="K14" i="3"/>
  <c r="M14" i="3" s="1"/>
  <c r="O14" i="3"/>
  <c r="K20" i="3"/>
  <c r="M20" i="3" s="1"/>
  <c r="O20" i="3"/>
  <c r="K16" i="3"/>
  <c r="M16" i="3" s="1"/>
  <c r="O16" i="3"/>
  <c r="K13" i="3"/>
  <c r="M13" i="3" s="1"/>
  <c r="J21" i="3"/>
  <c r="L21" i="3" s="1"/>
  <c r="C37" i="3"/>
  <c r="E37" i="3" s="1"/>
  <c r="D38" i="3"/>
  <c r="F38" i="3" s="1"/>
  <c r="D37" i="3"/>
  <c r="F37" i="3" s="1"/>
  <c r="R13" i="3" l="1"/>
  <c r="N17" i="3"/>
  <c r="P17" i="3" s="1"/>
  <c r="C38" i="3"/>
  <c r="E38" i="3" s="1"/>
  <c r="H14" i="3" s="1"/>
  <c r="K21" i="3"/>
  <c r="M21" i="3" s="1"/>
  <c r="Q21" i="3" s="1"/>
  <c r="J14" i="3"/>
  <c r="L14" i="3" s="1"/>
  <c r="O18" i="3"/>
  <c r="O19" i="3"/>
  <c r="J16" i="3"/>
  <c r="L16" i="3" s="1"/>
  <c r="O15" i="3"/>
  <c r="J20" i="3"/>
  <c r="L20" i="3" s="1"/>
  <c r="N20" i="3"/>
  <c r="P20" i="3" s="1"/>
  <c r="D39" i="3"/>
  <c r="F39" i="3" s="1"/>
  <c r="H15" i="3" s="1"/>
  <c r="B8" i="4"/>
  <c r="E7" i="4"/>
  <c r="Q14" i="3"/>
  <c r="R14" i="3"/>
  <c r="Q17" i="3"/>
  <c r="R17" i="3"/>
  <c r="Q20" i="3"/>
  <c r="R20" i="3"/>
  <c r="Q15" i="3"/>
  <c r="R15" i="3"/>
  <c r="Q19" i="3"/>
  <c r="R19" i="3"/>
  <c r="Q18" i="3"/>
  <c r="R18" i="3"/>
  <c r="Q16" i="3"/>
  <c r="R16" i="3"/>
  <c r="Q13" i="3"/>
  <c r="H13" i="3"/>
  <c r="H4" i="3" l="1"/>
  <c r="H6" i="3" s="1"/>
  <c r="H5" i="3"/>
  <c r="H7" i="3" s="1"/>
  <c r="R21" i="3"/>
  <c r="C40" i="3"/>
  <c r="E40" i="3" s="1"/>
  <c r="D40" i="3"/>
  <c r="F40" i="3" s="1"/>
  <c r="B9" i="4"/>
  <c r="E8" i="4"/>
  <c r="H16" i="3" l="1"/>
  <c r="B10" i="4"/>
  <c r="E9" i="4"/>
  <c r="C41" i="3"/>
  <c r="E41" i="3" s="1"/>
  <c r="D41" i="3"/>
  <c r="F41" i="3" s="1"/>
  <c r="H17" i="3" l="1"/>
  <c r="C42" i="3"/>
  <c r="E42" i="3" s="1"/>
  <c r="D42" i="3"/>
  <c r="F42" i="3" s="1"/>
  <c r="B11" i="4"/>
  <c r="E10" i="4"/>
  <c r="H18" i="3" l="1"/>
  <c r="B12" i="4"/>
  <c r="E12" i="4" s="1"/>
  <c r="E11" i="4"/>
  <c r="C43" i="3"/>
  <c r="E43" i="3" s="1"/>
  <c r="D43" i="3"/>
  <c r="F43" i="3" s="1"/>
  <c r="H19" i="3" l="1"/>
  <c r="D44" i="3"/>
  <c r="F44" i="3" s="1"/>
  <c r="C44" i="3"/>
  <c r="E44" i="3" s="1"/>
  <c r="C45" i="3"/>
  <c r="E45" i="3" s="1"/>
  <c r="D45" i="3"/>
  <c r="F45" i="3" s="1"/>
  <c r="H20" i="3" l="1"/>
  <c r="H21" i="3"/>
  <c r="C4" i="5"/>
  <c r="D4" i="5" s="1"/>
</calcChain>
</file>

<file path=xl/sharedStrings.xml><?xml version="1.0" encoding="utf-8"?>
<sst xmlns="http://schemas.openxmlformats.org/spreadsheetml/2006/main" count="91" uniqueCount="78">
  <si>
    <t>r/R</t>
  </si>
  <si>
    <t>Station</t>
  </si>
  <si>
    <t>Root</t>
  </si>
  <si>
    <t>Tip</t>
  </si>
  <si>
    <t>Hub Radius (m)</t>
  </si>
  <si>
    <t>Tip Radius (m)</t>
  </si>
  <si>
    <t>a °</t>
  </si>
  <si>
    <t>Cl</t>
  </si>
  <si>
    <t>Cd</t>
  </si>
  <si>
    <t>Cl/Cd</t>
  </si>
  <si>
    <t>BLADE DESIGNS (DTU 10MW RWT)</t>
  </si>
  <si>
    <t>BLADE SECTION AERODYNAMIC CHARACTERISTICS</t>
  </si>
  <si>
    <t>WIND TURBINE PERFORMANCE CALCULATOR (BEM, Ning's Method)</t>
  </si>
  <si>
    <t>Constants</t>
  </si>
  <si>
    <t>Chord (m)</t>
  </si>
  <si>
    <t>Radius (m)</t>
  </si>
  <si>
    <r>
      <t>Twist (</t>
    </r>
    <r>
      <rPr>
        <sz val="11"/>
        <color theme="1"/>
        <rFont val="Times New Roman"/>
        <family val="1"/>
      </rPr>
      <t>β, deg</t>
    </r>
    <r>
      <rPr>
        <sz val="11"/>
        <color theme="1"/>
        <rFont val="等线"/>
        <family val="2"/>
        <scheme val="minor"/>
      </rPr>
      <t>)</t>
    </r>
  </si>
  <si>
    <t>Chord (c, m)</t>
  </si>
  <si>
    <t>F_tip</t>
  </si>
  <si>
    <t>F_hub</t>
  </si>
  <si>
    <t>Nblades</t>
  </si>
  <si>
    <t>No. of blades</t>
  </si>
  <si>
    <t>k</t>
  </si>
  <si>
    <t>k'</t>
  </si>
  <si>
    <t>EX</t>
  </si>
  <si>
    <t>F</t>
  </si>
  <si>
    <t>TSR (λ)</t>
  </si>
  <si>
    <t>Solidity (σ')</t>
  </si>
  <si>
    <t>BEM Intermediate Parameters</t>
  </si>
  <si>
    <t>Local Airfoil Conditions</t>
  </si>
  <si>
    <t>m</t>
  </si>
  <si>
    <t>m/s</t>
  </si>
  <si>
    <t>rad/s</t>
  </si>
  <si>
    <t>Name</t>
  </si>
  <si>
    <t>Number</t>
  </si>
  <si>
    <t>Unit</t>
  </si>
  <si>
    <t>BEM Results</t>
  </si>
  <si>
    <t>Thrust</t>
  </si>
  <si>
    <t>C_T</t>
  </si>
  <si>
    <t>Power</t>
  </si>
  <si>
    <t>C_P</t>
  </si>
  <si>
    <t>λr</t>
  </si>
  <si>
    <t>a</t>
  </si>
  <si>
    <t>a'</t>
  </si>
  <si>
    <t>Solver Parameters</t>
  </si>
  <si>
    <t xml:space="preserve"> ϕ (deg)</t>
  </si>
  <si>
    <t>f(ϕ)</t>
  </si>
  <si>
    <t>β (deg)</t>
  </si>
  <si>
    <t>Sections</t>
  </si>
  <si>
    <t>R</t>
  </si>
  <si>
    <t>ω</t>
  </si>
  <si>
    <t>α (deg)</t>
  </si>
  <si>
    <t>Force Distributions</t>
  </si>
  <si>
    <t>Ftan</t>
  </si>
  <si>
    <t>Torque</t>
  </si>
  <si>
    <t>Ftan / Δr</t>
  </si>
  <si>
    <t>Faxi</t>
  </si>
  <si>
    <t>Faxi / Δr</t>
  </si>
  <si>
    <t>Caxi</t>
  </si>
  <si>
    <t>Ctan</t>
  </si>
  <si>
    <t>GLAUERT TIP LOSS CORRECTION</t>
  </si>
  <si>
    <t>Thrust Coef</t>
  </si>
  <si>
    <t>Torque Coef</t>
  </si>
  <si>
    <t>Power Coef</t>
  </si>
  <si>
    <t>RPM</t>
  </si>
  <si>
    <t>TSR</t>
  </si>
  <si>
    <t>Pitch</t>
  </si>
  <si>
    <t>Air Density</t>
  </si>
  <si>
    <t>Blade section width</t>
  </si>
  <si>
    <t>WIND TURBINE OPERATION CURVE (DTU 10MW RWT)</t>
  </si>
  <si>
    <t>Cp</t>
  </si>
  <si>
    <t>Root Pitch Angle</t>
    <phoneticPr fontId="13" type="noConversion"/>
  </si>
  <si>
    <t>Power (MW)</t>
  </si>
  <si>
    <t>Blade Sectional Design (using band centroids)</t>
  </si>
  <si>
    <t>MN</t>
  </si>
  <si>
    <t>MW</t>
  </si>
  <si>
    <t>Wind speed (m/s)</t>
  </si>
  <si>
    <t>Wind 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</si>
</sst>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000"/>
    <numFmt numFmtId="178" formatCode="#,##0.000"/>
  </numFmts>
  <fonts count="14" x14ac:knownFonts="1">
    <font>
      <sz val="11"/>
      <color theme="1"/>
      <name val="等线"/>
      <family val="2"/>
      <scheme val="minor"/>
    </font>
    <font>
      <sz val="10"/>
      <name val="Arial"/>
      <family val="2"/>
    </font>
    <font>
      <b/>
      <sz val="12"/>
      <name val="Symbol"/>
      <family val="1"/>
      <charset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sz val="11"/>
      <color theme="1"/>
      <name val="Times New Roman"/>
      <family val="1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12"/>
      <name val="Arial"/>
      <family val="2"/>
    </font>
    <font>
      <sz val="24"/>
      <color rgb="FF000000"/>
      <name val="Arial"/>
      <family val="2"/>
    </font>
    <font>
      <sz val="9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08">
    <xf numFmtId="0" fontId="0" fillId="0" borderId="0" xfId="0"/>
    <xf numFmtId="0" fontId="0" fillId="0" borderId="0" xfId="0" applyAlignment="1">
      <alignment horizontal="center"/>
    </xf>
    <xf numFmtId="177" fontId="1" fillId="0" borderId="0" xfId="1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/>
    <xf numFmtId="0" fontId="6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176" fontId="1" fillId="0" borderId="0" xfId="1" applyNumberFormat="1" applyAlignment="1">
      <alignment horizontal="center"/>
    </xf>
    <xf numFmtId="0" fontId="1" fillId="0" borderId="0" xfId="1"/>
    <xf numFmtId="0" fontId="5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8" fillId="6" borderId="2" xfId="0" applyFont="1" applyFill="1" applyBorder="1" applyAlignment="1">
      <alignment vertical="center"/>
    </xf>
    <xf numFmtId="0" fontId="8" fillId="6" borderId="0" xfId="0" applyFont="1" applyFill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0" fontId="8" fillId="3" borderId="3" xfId="0" applyFont="1" applyFill="1" applyBorder="1" applyAlignment="1">
      <alignment vertical="center"/>
    </xf>
    <xf numFmtId="0" fontId="8" fillId="3" borderId="4" xfId="0" applyFont="1" applyFill="1" applyBorder="1" applyAlignment="1">
      <alignment vertical="center"/>
    </xf>
    <xf numFmtId="0" fontId="8" fillId="3" borderId="5" xfId="0" applyFont="1" applyFill="1" applyBorder="1" applyAlignment="1">
      <alignment vertical="center"/>
    </xf>
    <xf numFmtId="0" fontId="8" fillId="3" borderId="6" xfId="0" applyFont="1" applyFill="1" applyBorder="1" applyAlignment="1">
      <alignment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vertical="center"/>
    </xf>
    <xf numFmtId="0" fontId="8" fillId="4" borderId="4" xfId="0" applyFont="1" applyFill="1" applyBorder="1" applyAlignment="1">
      <alignment vertical="center"/>
    </xf>
    <xf numFmtId="0" fontId="8" fillId="4" borderId="5" xfId="0" applyFont="1" applyFill="1" applyBorder="1" applyAlignment="1">
      <alignment vertical="center"/>
    </xf>
    <xf numFmtId="0" fontId="8" fillId="4" borderId="6" xfId="0" applyFont="1" applyFill="1" applyBorder="1" applyAlignment="1">
      <alignment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vertical="center"/>
    </xf>
    <xf numFmtId="176" fontId="8" fillId="3" borderId="0" xfId="0" applyNumberFormat="1" applyFont="1" applyFill="1" applyAlignment="1">
      <alignment vertical="center"/>
    </xf>
    <xf numFmtId="0" fontId="8" fillId="3" borderId="0" xfId="0" applyFont="1" applyFill="1" applyAlignment="1">
      <alignment vertical="center"/>
    </xf>
    <xf numFmtId="176" fontId="8" fillId="3" borderId="5" xfId="0" applyNumberFormat="1" applyFont="1" applyFill="1" applyBorder="1" applyAlignment="1">
      <alignment vertical="center"/>
    </xf>
    <xf numFmtId="176" fontId="1" fillId="0" borderId="0" xfId="1" applyNumberFormat="1"/>
    <xf numFmtId="0" fontId="8" fillId="6" borderId="4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vertical="center"/>
    </xf>
    <xf numFmtId="0" fontId="8" fillId="6" borderId="3" xfId="0" applyFont="1" applyFill="1" applyBorder="1" applyAlignment="1">
      <alignment vertical="center"/>
    </xf>
    <xf numFmtId="0" fontId="8" fillId="6" borderId="4" xfId="0" applyFont="1" applyFill="1" applyBorder="1" applyAlignment="1">
      <alignment vertical="center"/>
    </xf>
    <xf numFmtId="0" fontId="8" fillId="6" borderId="5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8" fillId="7" borderId="10" xfId="0" applyFont="1" applyFill="1" applyBorder="1" applyAlignment="1">
      <alignment vertical="center" wrapText="1"/>
    </xf>
    <xf numFmtId="0" fontId="8" fillId="7" borderId="10" xfId="0" applyFont="1" applyFill="1" applyBorder="1" applyAlignment="1">
      <alignment horizontal="center" vertical="center"/>
    </xf>
    <xf numFmtId="0" fontId="8" fillId="2" borderId="0" xfId="0" applyFont="1" applyFill="1" applyAlignment="1" applyProtection="1">
      <alignment vertical="center"/>
      <protection locked="0"/>
    </xf>
    <xf numFmtId="0" fontId="8" fillId="8" borderId="4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176" fontId="8" fillId="8" borderId="0" xfId="0" applyNumberFormat="1" applyFont="1" applyFill="1" applyAlignment="1">
      <alignment vertical="center"/>
    </xf>
    <xf numFmtId="176" fontId="8" fillId="8" borderId="3" xfId="0" applyNumberFormat="1" applyFont="1" applyFill="1" applyBorder="1" applyAlignment="1">
      <alignment vertical="center"/>
    </xf>
    <xf numFmtId="176" fontId="8" fillId="8" borderId="5" xfId="0" applyNumberFormat="1" applyFont="1" applyFill="1" applyBorder="1" applyAlignment="1">
      <alignment vertical="center"/>
    </xf>
    <xf numFmtId="176" fontId="8" fillId="8" borderId="6" xfId="0" applyNumberFormat="1" applyFont="1" applyFill="1" applyBorder="1" applyAlignment="1">
      <alignment vertical="center"/>
    </xf>
    <xf numFmtId="0" fontId="8" fillId="2" borderId="12" xfId="0" applyFont="1" applyFill="1" applyBorder="1" applyAlignment="1" applyProtection="1">
      <alignment vertical="center"/>
      <protection locked="0"/>
    </xf>
    <xf numFmtId="0" fontId="8" fillId="2" borderId="11" xfId="0" applyFont="1" applyFill="1" applyBorder="1" applyAlignment="1" applyProtection="1">
      <alignment vertical="center"/>
      <protection locked="0"/>
    </xf>
    <xf numFmtId="178" fontId="8" fillId="3" borderId="0" xfId="0" applyNumberFormat="1" applyFont="1" applyFill="1" applyAlignment="1">
      <alignment vertical="center"/>
    </xf>
    <xf numFmtId="178" fontId="8" fillId="3" borderId="5" xfId="0" applyNumberFormat="1" applyFont="1" applyFill="1" applyBorder="1" applyAlignment="1">
      <alignment vertical="center"/>
    </xf>
    <xf numFmtId="0" fontId="8" fillId="5" borderId="2" xfId="0" applyFont="1" applyFill="1" applyBorder="1" applyAlignment="1" applyProtection="1">
      <alignment vertical="center"/>
      <protection locked="0"/>
    </xf>
    <xf numFmtId="0" fontId="8" fillId="5" borderId="4" xfId="0" applyFont="1" applyFill="1" applyBorder="1" applyAlignment="1" applyProtection="1">
      <alignment vertical="center"/>
      <protection locked="0"/>
    </xf>
    <xf numFmtId="0" fontId="8" fillId="5" borderId="3" xfId="0" applyFont="1" applyFill="1" applyBorder="1" applyAlignment="1">
      <alignment vertical="center"/>
    </xf>
    <xf numFmtId="0" fontId="8" fillId="5" borderId="6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2" borderId="0" xfId="0" applyFont="1" applyFill="1" applyAlignment="1">
      <alignment horizontal="center" vertical="center"/>
    </xf>
    <xf numFmtId="176" fontId="11" fillId="0" borderId="0" xfId="1" applyNumberFormat="1" applyFont="1"/>
    <xf numFmtId="176" fontId="8" fillId="2" borderId="0" xfId="0" applyNumberFormat="1" applyFont="1" applyFill="1" applyProtection="1">
      <protection locked="0"/>
    </xf>
    <xf numFmtId="0" fontId="8" fillId="5" borderId="0" xfId="0" applyFont="1" applyFill="1" applyAlignment="1">
      <alignment horizontal="center" vertical="center"/>
    </xf>
    <xf numFmtId="0" fontId="8" fillId="5" borderId="0" xfId="0" applyFont="1" applyFill="1"/>
    <xf numFmtId="176" fontId="11" fillId="5" borderId="0" xfId="1" applyNumberFormat="1" applyFont="1" applyFill="1" applyProtection="1">
      <protection locked="0"/>
    </xf>
    <xf numFmtId="0" fontId="8" fillId="9" borderId="0" xfId="0" applyFont="1" applyFill="1"/>
    <xf numFmtId="176" fontId="11" fillId="9" borderId="0" xfId="1" applyNumberFormat="1" applyFont="1" applyFill="1" applyProtection="1">
      <protection locked="0"/>
    </xf>
    <xf numFmtId="176" fontId="8" fillId="9" borderId="0" xfId="0" applyNumberFormat="1" applyFont="1" applyFill="1" applyProtection="1">
      <protection locked="0"/>
    </xf>
    <xf numFmtId="0" fontId="4" fillId="0" borderId="0" xfId="0" applyFont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9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 wrapText="1"/>
    </xf>
    <xf numFmtId="0" fontId="8" fillId="7" borderId="11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10" fillId="3" borderId="13" xfId="0" applyFont="1" applyFill="1" applyBorder="1" applyAlignment="1">
      <alignment horizontal="center" vertical="center"/>
    </xf>
    <xf numFmtId="0" fontId="10" fillId="3" borderId="15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</cellXfs>
  <cellStyles count="2">
    <cellStyle name="Normal 2" xfId="1" xr:uid="{6FEB3EA0-FF14-4FED-9FA7-BEB0C1DDBD63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Blade Twist Distribution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BLD!$C$4:$C$43</c:f>
              <c:numCache>
                <c:formatCode>0.000</c:formatCode>
                <c:ptCount val="40"/>
                <c:pt idx="0">
                  <c:v>3.1402103940964043E-2</c:v>
                </c:pt>
                <c:pt idx="1">
                  <c:v>6.1043643984164932E-2</c:v>
                </c:pt>
                <c:pt idx="2">
                  <c:v>9.1736422426780942E-2</c:v>
                </c:pt>
                <c:pt idx="3">
                  <c:v>0.12339611875865464</c:v>
                </c:pt>
                <c:pt idx="4">
                  <c:v>0.15592426540181684</c:v>
                </c:pt>
                <c:pt idx="5">
                  <c:v>0.18920912721827604</c:v>
                </c:pt>
                <c:pt idx="6">
                  <c:v>0.22312692816220198</c:v>
                </c:pt>
                <c:pt idx="7">
                  <c:v>0.25754348629363544</c:v>
                </c:pt>
                <c:pt idx="8">
                  <c:v>0.29231618848839247</c:v>
                </c:pt>
                <c:pt idx="9">
                  <c:v>0.32729627172944287</c:v>
                </c:pt>
                <c:pt idx="10">
                  <c:v>0.36233136327563087</c:v>
                </c:pt>
                <c:pt idx="11">
                  <c:v>0.39726795301701551</c:v>
                </c:pt>
                <c:pt idx="12">
                  <c:v>0.43195431438565818</c:v>
                </c:pt>
                <c:pt idx="13">
                  <c:v>0.46624295933407578</c:v>
                </c:pt>
                <c:pt idx="14">
                  <c:v>0.49999314440049791</c:v>
                </c:pt>
                <c:pt idx="15">
                  <c:v>0.53307309636613398</c:v>
                </c:pt>
                <c:pt idx="16">
                  <c:v>0.56536192782864214</c:v>
                </c:pt>
                <c:pt idx="17">
                  <c:v>0.59675118734295585</c:v>
                </c:pt>
                <c:pt idx="18">
                  <c:v>0.62714600990624569</c:v>
                </c:pt>
                <c:pt idx="19">
                  <c:v>0.65646586374961868</c:v>
                </c:pt>
                <c:pt idx="20">
                  <c:v>0.68464490631400765</c:v>
                </c:pt>
                <c:pt idx="21">
                  <c:v>0.7116318359402104</c:v>
                </c:pt>
                <c:pt idx="22">
                  <c:v>0.73738975873938617</c:v>
                </c:pt>
                <c:pt idx="23">
                  <c:v>0.76189532378825686</c:v>
                </c:pt>
                <c:pt idx="24">
                  <c:v>0.78513780692375235</c:v>
                </c:pt>
                <c:pt idx="25">
                  <c:v>0.80711809558393555</c:v>
                </c:pt>
                <c:pt idx="26">
                  <c:v>0.82784753732084204</c:v>
                </c:pt>
                <c:pt idx="27">
                  <c:v>0.84734663234048857</c:v>
                </c:pt>
                <c:pt idx="28">
                  <c:v>0.8656435669155127</c:v>
                </c:pt>
                <c:pt idx="29">
                  <c:v>0.88277310747496029</c:v>
                </c:pt>
                <c:pt idx="30">
                  <c:v>0.89877550442818566</c:v>
                </c:pt>
                <c:pt idx="31">
                  <c:v>0.9136949408445495</c:v>
                </c:pt>
                <c:pt idx="32">
                  <c:v>0.92757872798037255</c:v>
                </c:pt>
                <c:pt idx="33">
                  <c:v>0.94047643188480246</c:v>
                </c:pt>
                <c:pt idx="34">
                  <c:v>0.95243878324043918</c:v>
                </c:pt>
                <c:pt idx="35">
                  <c:v>0.963517007267916</c:v>
                </c:pt>
                <c:pt idx="36">
                  <c:v>0.97376226226831974</c:v>
                </c:pt>
                <c:pt idx="37">
                  <c:v>0.98322514028082342</c:v>
                </c:pt>
                <c:pt idx="38">
                  <c:v>0.99195503759547021</c:v>
                </c:pt>
                <c:pt idx="39">
                  <c:v>0.99999999999999889</c:v>
                </c:pt>
              </c:numCache>
            </c:numRef>
          </c:xVal>
          <c:yVal>
            <c:numRef>
              <c:f>BLD!$D$4:$D$43</c:f>
              <c:numCache>
                <c:formatCode>0.000</c:formatCode>
                <c:ptCount val="40"/>
                <c:pt idx="0">
                  <c:v>14.5</c:v>
                </c:pt>
                <c:pt idx="1">
                  <c:v>14.5</c:v>
                </c:pt>
                <c:pt idx="2">
                  <c:v>14.5</c:v>
                </c:pt>
                <c:pt idx="3">
                  <c:v>14.4320087812798</c:v>
                </c:pt>
                <c:pt idx="4">
                  <c:v>13.888815664679299</c:v>
                </c:pt>
                <c:pt idx="5">
                  <c:v>12.545974267440601</c:v>
                </c:pt>
                <c:pt idx="6">
                  <c:v>10.6086877180032</c:v>
                </c:pt>
                <c:pt idx="7">
                  <c:v>8.8924522884579993</c:v>
                </c:pt>
                <c:pt idx="8">
                  <c:v>7.8018023458859398</c:v>
                </c:pt>
                <c:pt idx="9">
                  <c:v>7.02416236586153</c:v>
                </c:pt>
                <c:pt idx="10">
                  <c:v>6.3821977924515503</c:v>
                </c:pt>
                <c:pt idx="11">
                  <c:v>5.7768570132310799</c:v>
                </c:pt>
                <c:pt idx="12">
                  <c:v>5.2275021584650503</c:v>
                </c:pt>
                <c:pt idx="13">
                  <c:v>4.6735758303135704</c:v>
                </c:pt>
                <c:pt idx="14">
                  <c:v>4.0885963548249302</c:v>
                </c:pt>
                <c:pt idx="15">
                  <c:v>3.4877550750133501</c:v>
                </c:pt>
                <c:pt idx="16">
                  <c:v>2.8865523844899501</c:v>
                </c:pt>
                <c:pt idx="17">
                  <c:v>2.2990792499275798</c:v>
                </c:pt>
                <c:pt idx="18">
                  <c:v>1.73617493209415</c:v>
                </c:pt>
                <c:pt idx="19">
                  <c:v>1.2071898063642399</c:v>
                </c:pt>
                <c:pt idx="20">
                  <c:v>0.71870354299199801</c:v>
                </c:pt>
                <c:pt idx="21">
                  <c:v>0.27307626153272602</c:v>
                </c:pt>
                <c:pt idx="22">
                  <c:v>-0.13037961496903999</c:v>
                </c:pt>
                <c:pt idx="23">
                  <c:v>-0.493278807488782</c:v>
                </c:pt>
                <c:pt idx="24">
                  <c:v>-0.81956519343776502</c:v>
                </c:pt>
                <c:pt idx="25">
                  <c:v>-1.1139247801188401</c:v>
                </c:pt>
                <c:pt idx="26">
                  <c:v>-1.38270441849099</c:v>
                </c:pt>
                <c:pt idx="27">
                  <c:v>-1.63109081481673</c:v>
                </c:pt>
                <c:pt idx="28">
                  <c:v>-1.8619587636742501</c:v>
                </c:pt>
                <c:pt idx="29">
                  <c:v>-2.0776267959516299</c:v>
                </c:pt>
                <c:pt idx="30">
                  <c:v>-2.2800793980862402</c:v>
                </c:pt>
                <c:pt idx="31">
                  <c:v>-2.4689966713159301</c:v>
                </c:pt>
                <c:pt idx="32">
                  <c:v>-2.6440840936754499</c:v>
                </c:pt>
                <c:pt idx="33">
                  <c:v>-2.8029648232439701</c:v>
                </c:pt>
                <c:pt idx="34">
                  <c:v>-2.9450706813732501</c:v>
                </c:pt>
                <c:pt idx="35">
                  <c:v>-3.07008508099671</c:v>
                </c:pt>
                <c:pt idx="36">
                  <c:v>-3.1773289582630002</c:v>
                </c:pt>
                <c:pt idx="37">
                  <c:v>-3.27095595844116</c:v>
                </c:pt>
                <c:pt idx="38">
                  <c:v>-3.35752647985493</c:v>
                </c:pt>
                <c:pt idx="39">
                  <c:v>-3.4279999999999902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D0-4EB1-A04F-0B65A5AEA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939904"/>
        <c:axId val="1594941824"/>
      </c:scatterChart>
      <c:valAx>
        <c:axId val="1594939904"/>
        <c:scaling>
          <c:orientation val="minMax"/>
          <c:max val="1.0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 sz="1600"/>
                  <a:t>r/R</a:t>
                </a:r>
              </a:p>
            </c:rich>
          </c:tx>
          <c:overlay val="0"/>
        </c:title>
        <c:numFmt formatCode="#,##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94941824"/>
        <c:crossesAt val="-15"/>
        <c:crossBetween val="midCat"/>
      </c:valAx>
      <c:valAx>
        <c:axId val="1594941824"/>
        <c:scaling>
          <c:orientation val="minMax"/>
          <c:max val="1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 sz="1600"/>
                  <a:t>Twist (deg)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94939904"/>
        <c:crossesAt val="0"/>
        <c:crossBetween val="midCat"/>
        <c:majorUnit val="5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Blade Chord Distribution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BLD!$C$4:$C$43</c:f>
              <c:numCache>
                <c:formatCode>0.000</c:formatCode>
                <c:ptCount val="40"/>
                <c:pt idx="0">
                  <c:v>3.1402103940964043E-2</c:v>
                </c:pt>
                <c:pt idx="1">
                  <c:v>6.1043643984164932E-2</c:v>
                </c:pt>
                <c:pt idx="2">
                  <c:v>9.1736422426780942E-2</c:v>
                </c:pt>
                <c:pt idx="3">
                  <c:v>0.12339611875865464</c:v>
                </c:pt>
                <c:pt idx="4">
                  <c:v>0.15592426540181684</c:v>
                </c:pt>
                <c:pt idx="5">
                  <c:v>0.18920912721827604</c:v>
                </c:pt>
                <c:pt idx="6">
                  <c:v>0.22312692816220198</c:v>
                </c:pt>
                <c:pt idx="7">
                  <c:v>0.25754348629363544</c:v>
                </c:pt>
                <c:pt idx="8">
                  <c:v>0.29231618848839247</c:v>
                </c:pt>
                <c:pt idx="9">
                  <c:v>0.32729627172944287</c:v>
                </c:pt>
                <c:pt idx="10">
                  <c:v>0.36233136327563087</c:v>
                </c:pt>
                <c:pt idx="11">
                  <c:v>0.39726795301701551</c:v>
                </c:pt>
                <c:pt idx="12">
                  <c:v>0.43195431438565818</c:v>
                </c:pt>
                <c:pt idx="13">
                  <c:v>0.46624295933407578</c:v>
                </c:pt>
                <c:pt idx="14">
                  <c:v>0.49999314440049791</c:v>
                </c:pt>
                <c:pt idx="15">
                  <c:v>0.53307309636613398</c:v>
                </c:pt>
                <c:pt idx="16">
                  <c:v>0.56536192782864214</c:v>
                </c:pt>
                <c:pt idx="17">
                  <c:v>0.59675118734295585</c:v>
                </c:pt>
                <c:pt idx="18">
                  <c:v>0.62714600990624569</c:v>
                </c:pt>
                <c:pt idx="19">
                  <c:v>0.65646586374961868</c:v>
                </c:pt>
                <c:pt idx="20">
                  <c:v>0.68464490631400765</c:v>
                </c:pt>
                <c:pt idx="21">
                  <c:v>0.7116318359402104</c:v>
                </c:pt>
                <c:pt idx="22">
                  <c:v>0.73738975873938617</c:v>
                </c:pt>
                <c:pt idx="23">
                  <c:v>0.76189532378825686</c:v>
                </c:pt>
                <c:pt idx="24">
                  <c:v>0.78513780692375235</c:v>
                </c:pt>
                <c:pt idx="25">
                  <c:v>0.80711809558393555</c:v>
                </c:pt>
                <c:pt idx="26">
                  <c:v>0.82784753732084204</c:v>
                </c:pt>
                <c:pt idx="27">
                  <c:v>0.84734663234048857</c:v>
                </c:pt>
                <c:pt idx="28">
                  <c:v>0.8656435669155127</c:v>
                </c:pt>
                <c:pt idx="29">
                  <c:v>0.88277310747496029</c:v>
                </c:pt>
                <c:pt idx="30">
                  <c:v>0.89877550442818566</c:v>
                </c:pt>
                <c:pt idx="31">
                  <c:v>0.9136949408445495</c:v>
                </c:pt>
                <c:pt idx="32">
                  <c:v>0.92757872798037255</c:v>
                </c:pt>
                <c:pt idx="33">
                  <c:v>0.94047643188480246</c:v>
                </c:pt>
                <c:pt idx="34">
                  <c:v>0.95243878324043918</c:v>
                </c:pt>
                <c:pt idx="35">
                  <c:v>0.963517007267916</c:v>
                </c:pt>
                <c:pt idx="36">
                  <c:v>0.97376226226831974</c:v>
                </c:pt>
                <c:pt idx="37">
                  <c:v>0.98322514028082342</c:v>
                </c:pt>
                <c:pt idx="38">
                  <c:v>0.99195503759547021</c:v>
                </c:pt>
                <c:pt idx="39">
                  <c:v>0.99999999999999889</c:v>
                </c:pt>
              </c:numCache>
            </c:numRef>
          </c:xVal>
          <c:yVal>
            <c:numRef>
              <c:f>BLD!$E$4:$E$43</c:f>
              <c:numCache>
                <c:formatCode>0.000</c:formatCode>
                <c:ptCount val="40"/>
                <c:pt idx="0">
                  <c:v>5.3799999999999901</c:v>
                </c:pt>
                <c:pt idx="1">
                  <c:v>5.3802898245577602</c:v>
                </c:pt>
                <c:pt idx="2">
                  <c:v>5.3799605422485302</c:v>
                </c:pt>
                <c:pt idx="3">
                  <c:v>5.4524800085503697</c:v>
                </c:pt>
                <c:pt idx="4">
                  <c:v>5.6354406366658596</c:v>
                </c:pt>
                <c:pt idx="5">
                  <c:v>5.8660043214416397</c:v>
                </c:pt>
                <c:pt idx="6">
                  <c:v>6.0706543128780197</c:v>
                </c:pt>
                <c:pt idx="7">
                  <c:v>6.1845112379059701</c:v>
                </c:pt>
                <c:pt idx="8">
                  <c:v>6.2030088447048399</c:v>
                </c:pt>
                <c:pt idx="9">
                  <c:v>6.14288001435916</c:v>
                </c:pt>
                <c:pt idx="10">
                  <c:v>6.0199624254464803</c:v>
                </c:pt>
                <c:pt idx="11">
                  <c:v>5.8490685437073102</c:v>
                </c:pt>
                <c:pt idx="12">
                  <c:v>5.6453233257575803</c:v>
                </c:pt>
                <c:pt idx="13">
                  <c:v>5.4218911864361496</c:v>
                </c:pt>
                <c:pt idx="14">
                  <c:v>5.1858293837937897</c:v>
                </c:pt>
                <c:pt idx="15">
                  <c:v>4.9428273587784304</c:v>
                </c:pt>
                <c:pt idx="16">
                  <c:v>4.6982195196877496</c:v>
                </c:pt>
                <c:pt idx="17">
                  <c:v>4.4567750106053303</c:v>
                </c:pt>
                <c:pt idx="18">
                  <c:v>4.2226912222355999</c:v>
                </c:pt>
                <c:pt idx="19">
                  <c:v>3.9986796517683598</c:v>
                </c:pt>
                <c:pt idx="20">
                  <c:v>3.78608058690196</c:v>
                </c:pt>
                <c:pt idx="21">
                  <c:v>3.5857064766338702</c:v>
                </c:pt>
                <c:pt idx="22">
                  <c:v>3.3980944912814399</c:v>
                </c:pt>
                <c:pt idx="23">
                  <c:v>3.22348971587662</c:v>
                </c:pt>
                <c:pt idx="24">
                  <c:v>3.06189968445352</c:v>
                </c:pt>
                <c:pt idx="25">
                  <c:v>2.91304005926539</c:v>
                </c:pt>
                <c:pt idx="26">
                  <c:v>2.7762791501019501</c:v>
                </c:pt>
                <c:pt idx="27">
                  <c:v>2.6506949910789701</c:v>
                </c:pt>
                <c:pt idx="28">
                  <c:v>2.5359472912966701</c:v>
                </c:pt>
                <c:pt idx="29">
                  <c:v>2.4307713987125599</c:v>
                </c:pt>
                <c:pt idx="30">
                  <c:v>2.33143175909942</c:v>
                </c:pt>
                <c:pt idx="31">
                  <c:v>2.2324158186988701</c:v>
                </c:pt>
                <c:pt idx="32">
                  <c:v>2.1290689299893102</c:v>
                </c:pt>
                <c:pt idx="33">
                  <c:v>2.01909558867604</c:v>
                </c:pt>
                <c:pt idx="34">
                  <c:v>1.9033224979655099</c:v>
                </c:pt>
                <c:pt idx="35">
                  <c:v>1.7761076689775199</c:v>
                </c:pt>
                <c:pt idx="36">
                  <c:v>1.6260118642146</c:v>
                </c:pt>
                <c:pt idx="37">
                  <c:v>1.44011918215127</c:v>
                </c:pt>
                <c:pt idx="38">
                  <c:v>1.1835989762103101</c:v>
                </c:pt>
                <c:pt idx="39">
                  <c:v>0.59999999999999898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0D3-4D20-B2EA-F538A1C6C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939904"/>
        <c:axId val="1594941824"/>
      </c:scatterChart>
      <c:valAx>
        <c:axId val="1594939904"/>
        <c:scaling>
          <c:orientation val="minMax"/>
          <c:max val="1.0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 sz="1600"/>
                  <a:t>r/R</a:t>
                </a:r>
              </a:p>
            </c:rich>
          </c:tx>
          <c:overlay val="0"/>
        </c:title>
        <c:numFmt formatCode="#,##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94941824"/>
        <c:crossesAt val="-15"/>
        <c:crossBetween val="midCat"/>
      </c:valAx>
      <c:valAx>
        <c:axId val="1594941824"/>
        <c:scaling>
          <c:orientation val="minMax"/>
          <c:max val="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 sz="1600"/>
                  <a:t>Chord Length</a:t>
                </a:r>
                <a:r>
                  <a:rPr lang="en-GB" sz="1600" baseline="0"/>
                  <a:t> (m)</a:t>
                </a:r>
                <a:endParaRPr lang="en-GB" sz="1600"/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94939904"/>
        <c:crossesAt val="0"/>
        <c:crossBetween val="midCat"/>
        <c:majorUnit val="1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Aerofoil Lift</a:t>
            </a:r>
            <a:r>
              <a:rPr lang="en-US" b="1" baseline="0"/>
              <a:t> and Drag Coefficients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ARFL!$A$3:$A$107</c:f>
              <c:numCache>
                <c:formatCode>General</c:formatCode>
                <c:ptCount val="105"/>
                <c:pt idx="0">
                  <c:v>-180</c:v>
                </c:pt>
                <c:pt idx="1">
                  <c:v>-175</c:v>
                </c:pt>
                <c:pt idx="2">
                  <c:v>-170</c:v>
                </c:pt>
                <c:pt idx="3">
                  <c:v>-165</c:v>
                </c:pt>
                <c:pt idx="4">
                  <c:v>-160</c:v>
                </c:pt>
                <c:pt idx="5">
                  <c:v>-155</c:v>
                </c:pt>
                <c:pt idx="6">
                  <c:v>-150</c:v>
                </c:pt>
                <c:pt idx="7">
                  <c:v>-145</c:v>
                </c:pt>
                <c:pt idx="8">
                  <c:v>-140</c:v>
                </c:pt>
                <c:pt idx="9">
                  <c:v>-135</c:v>
                </c:pt>
                <c:pt idx="10">
                  <c:v>-130</c:v>
                </c:pt>
                <c:pt idx="11">
                  <c:v>-125</c:v>
                </c:pt>
                <c:pt idx="12">
                  <c:v>-120</c:v>
                </c:pt>
                <c:pt idx="13">
                  <c:v>-115</c:v>
                </c:pt>
                <c:pt idx="14">
                  <c:v>-110</c:v>
                </c:pt>
                <c:pt idx="15">
                  <c:v>-105</c:v>
                </c:pt>
                <c:pt idx="16">
                  <c:v>-100</c:v>
                </c:pt>
                <c:pt idx="17">
                  <c:v>-95</c:v>
                </c:pt>
                <c:pt idx="18">
                  <c:v>-90</c:v>
                </c:pt>
                <c:pt idx="19">
                  <c:v>-85</c:v>
                </c:pt>
                <c:pt idx="20">
                  <c:v>-80</c:v>
                </c:pt>
                <c:pt idx="21">
                  <c:v>-75</c:v>
                </c:pt>
                <c:pt idx="22">
                  <c:v>-70</c:v>
                </c:pt>
                <c:pt idx="23">
                  <c:v>-65</c:v>
                </c:pt>
                <c:pt idx="24">
                  <c:v>-60</c:v>
                </c:pt>
                <c:pt idx="25">
                  <c:v>-55</c:v>
                </c:pt>
                <c:pt idx="26">
                  <c:v>-50</c:v>
                </c:pt>
                <c:pt idx="27">
                  <c:v>-45</c:v>
                </c:pt>
                <c:pt idx="28">
                  <c:v>-40</c:v>
                </c:pt>
                <c:pt idx="29">
                  <c:v>-39</c:v>
                </c:pt>
                <c:pt idx="30">
                  <c:v>-38</c:v>
                </c:pt>
                <c:pt idx="31">
                  <c:v>-37</c:v>
                </c:pt>
                <c:pt idx="32">
                  <c:v>-36</c:v>
                </c:pt>
                <c:pt idx="33">
                  <c:v>-35</c:v>
                </c:pt>
                <c:pt idx="34">
                  <c:v>-34</c:v>
                </c:pt>
                <c:pt idx="35">
                  <c:v>-33</c:v>
                </c:pt>
                <c:pt idx="36">
                  <c:v>-32</c:v>
                </c:pt>
                <c:pt idx="37">
                  <c:v>-30</c:v>
                </c:pt>
                <c:pt idx="38">
                  <c:v>-28</c:v>
                </c:pt>
                <c:pt idx="39">
                  <c:v>-26</c:v>
                </c:pt>
                <c:pt idx="40">
                  <c:v>-24</c:v>
                </c:pt>
                <c:pt idx="41">
                  <c:v>-22</c:v>
                </c:pt>
                <c:pt idx="42">
                  <c:v>-20</c:v>
                </c:pt>
                <c:pt idx="43">
                  <c:v>-18</c:v>
                </c:pt>
                <c:pt idx="44">
                  <c:v>-16</c:v>
                </c:pt>
                <c:pt idx="45">
                  <c:v>-14</c:v>
                </c:pt>
                <c:pt idx="46">
                  <c:v>-12</c:v>
                </c:pt>
                <c:pt idx="47">
                  <c:v>-10</c:v>
                </c:pt>
                <c:pt idx="48">
                  <c:v>-8</c:v>
                </c:pt>
                <c:pt idx="49">
                  <c:v>-6</c:v>
                </c:pt>
                <c:pt idx="50">
                  <c:v>-4</c:v>
                </c:pt>
                <c:pt idx="51">
                  <c:v>-2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6</c:v>
                </c:pt>
                <c:pt idx="56">
                  <c:v>8</c:v>
                </c:pt>
                <c:pt idx="57">
                  <c:v>10</c:v>
                </c:pt>
                <c:pt idx="58">
                  <c:v>12</c:v>
                </c:pt>
                <c:pt idx="59">
                  <c:v>14</c:v>
                </c:pt>
                <c:pt idx="60">
                  <c:v>16</c:v>
                </c:pt>
                <c:pt idx="61">
                  <c:v>18</c:v>
                </c:pt>
                <c:pt idx="62">
                  <c:v>20</c:v>
                </c:pt>
                <c:pt idx="63">
                  <c:v>22</c:v>
                </c:pt>
                <c:pt idx="64">
                  <c:v>24</c:v>
                </c:pt>
                <c:pt idx="65">
                  <c:v>26</c:v>
                </c:pt>
                <c:pt idx="66">
                  <c:v>28</c:v>
                </c:pt>
                <c:pt idx="67">
                  <c:v>30</c:v>
                </c:pt>
                <c:pt idx="68">
                  <c:v>32</c:v>
                </c:pt>
                <c:pt idx="69">
                  <c:v>33</c:v>
                </c:pt>
                <c:pt idx="70">
                  <c:v>34</c:v>
                </c:pt>
                <c:pt idx="71">
                  <c:v>35</c:v>
                </c:pt>
                <c:pt idx="72">
                  <c:v>36</c:v>
                </c:pt>
                <c:pt idx="73">
                  <c:v>37</c:v>
                </c:pt>
                <c:pt idx="74">
                  <c:v>38</c:v>
                </c:pt>
                <c:pt idx="75">
                  <c:v>39</c:v>
                </c:pt>
                <c:pt idx="76">
                  <c:v>40</c:v>
                </c:pt>
                <c:pt idx="77">
                  <c:v>45</c:v>
                </c:pt>
                <c:pt idx="78">
                  <c:v>50</c:v>
                </c:pt>
                <c:pt idx="79">
                  <c:v>55</c:v>
                </c:pt>
                <c:pt idx="80">
                  <c:v>60</c:v>
                </c:pt>
                <c:pt idx="81">
                  <c:v>65</c:v>
                </c:pt>
                <c:pt idx="82">
                  <c:v>70</c:v>
                </c:pt>
                <c:pt idx="83">
                  <c:v>75</c:v>
                </c:pt>
                <c:pt idx="84">
                  <c:v>80</c:v>
                </c:pt>
                <c:pt idx="85">
                  <c:v>85</c:v>
                </c:pt>
                <c:pt idx="86">
                  <c:v>90</c:v>
                </c:pt>
                <c:pt idx="87">
                  <c:v>95</c:v>
                </c:pt>
                <c:pt idx="88">
                  <c:v>100</c:v>
                </c:pt>
                <c:pt idx="89">
                  <c:v>105</c:v>
                </c:pt>
                <c:pt idx="90">
                  <c:v>110</c:v>
                </c:pt>
                <c:pt idx="91">
                  <c:v>115</c:v>
                </c:pt>
                <c:pt idx="92">
                  <c:v>120</c:v>
                </c:pt>
                <c:pt idx="93">
                  <c:v>125</c:v>
                </c:pt>
                <c:pt idx="94">
                  <c:v>130</c:v>
                </c:pt>
                <c:pt idx="95">
                  <c:v>135</c:v>
                </c:pt>
                <c:pt idx="96">
                  <c:v>140</c:v>
                </c:pt>
                <c:pt idx="97">
                  <c:v>145</c:v>
                </c:pt>
                <c:pt idx="98">
                  <c:v>150</c:v>
                </c:pt>
                <c:pt idx="99">
                  <c:v>155</c:v>
                </c:pt>
                <c:pt idx="100">
                  <c:v>160</c:v>
                </c:pt>
                <c:pt idx="101">
                  <c:v>165</c:v>
                </c:pt>
                <c:pt idx="102">
                  <c:v>170</c:v>
                </c:pt>
                <c:pt idx="103">
                  <c:v>175</c:v>
                </c:pt>
                <c:pt idx="104">
                  <c:v>180</c:v>
                </c:pt>
              </c:numCache>
            </c:numRef>
          </c:xVal>
          <c:yVal>
            <c:numRef>
              <c:f>ARFL!$B$3:$B$107</c:f>
              <c:numCache>
                <c:formatCode>0.000</c:formatCode>
                <c:ptCount val="105"/>
                <c:pt idx="0">
                  <c:v>0</c:v>
                </c:pt>
                <c:pt idx="1">
                  <c:v>0.1736</c:v>
                </c:pt>
                <c:pt idx="2">
                  <c:v>0.34200000000000003</c:v>
                </c:pt>
                <c:pt idx="3">
                  <c:v>0.5</c:v>
                </c:pt>
                <c:pt idx="4">
                  <c:v>0.64280000000000004</c:v>
                </c:pt>
                <c:pt idx="5">
                  <c:v>0.76600000000000001</c:v>
                </c:pt>
                <c:pt idx="6">
                  <c:v>0.86599999999999999</c:v>
                </c:pt>
                <c:pt idx="7">
                  <c:v>0.93969999999999998</c:v>
                </c:pt>
                <c:pt idx="8">
                  <c:v>0.98480000000000001</c:v>
                </c:pt>
                <c:pt idx="9">
                  <c:v>1</c:v>
                </c:pt>
                <c:pt idx="10">
                  <c:v>0.98480000000000001</c:v>
                </c:pt>
                <c:pt idx="11">
                  <c:v>0.93969999999999998</c:v>
                </c:pt>
                <c:pt idx="12">
                  <c:v>0.86599999999999999</c:v>
                </c:pt>
                <c:pt idx="13">
                  <c:v>0.76600000000000001</c:v>
                </c:pt>
                <c:pt idx="14">
                  <c:v>0.64280000000000004</c:v>
                </c:pt>
                <c:pt idx="15">
                  <c:v>0.5</c:v>
                </c:pt>
                <c:pt idx="16">
                  <c:v>0.34200000000000003</c:v>
                </c:pt>
                <c:pt idx="17">
                  <c:v>0.1736</c:v>
                </c:pt>
                <c:pt idx="18">
                  <c:v>0</c:v>
                </c:pt>
                <c:pt idx="19">
                  <c:v>-0.1736</c:v>
                </c:pt>
                <c:pt idx="20">
                  <c:v>-0.34200000000000003</c:v>
                </c:pt>
                <c:pt idx="21">
                  <c:v>-0.5</c:v>
                </c:pt>
                <c:pt idx="22">
                  <c:v>-0.64280000000000004</c:v>
                </c:pt>
                <c:pt idx="23">
                  <c:v>-0.76600000000000001</c:v>
                </c:pt>
                <c:pt idx="24">
                  <c:v>-0.86599999999999999</c:v>
                </c:pt>
                <c:pt idx="25">
                  <c:v>-0.93969999999999998</c:v>
                </c:pt>
                <c:pt idx="26">
                  <c:v>-0.98480000000000001</c:v>
                </c:pt>
                <c:pt idx="27">
                  <c:v>-1.012</c:v>
                </c:pt>
                <c:pt idx="28">
                  <c:v>-1.0376000000000001</c:v>
                </c:pt>
                <c:pt idx="29">
                  <c:v>-1.0419</c:v>
                </c:pt>
                <c:pt idx="30">
                  <c:v>-1.0462</c:v>
                </c:pt>
                <c:pt idx="31">
                  <c:v>-1.0525</c:v>
                </c:pt>
                <c:pt idx="32">
                  <c:v>-1.0568</c:v>
                </c:pt>
                <c:pt idx="33">
                  <c:v>-1.0610999999999999</c:v>
                </c:pt>
                <c:pt idx="34">
                  <c:v>-1.0653999999999999</c:v>
                </c:pt>
                <c:pt idx="35">
                  <c:v>-1.0717000000000001</c:v>
                </c:pt>
                <c:pt idx="36">
                  <c:v>-1.0765</c:v>
                </c:pt>
                <c:pt idx="37">
                  <c:v>-1.0889</c:v>
                </c:pt>
                <c:pt idx="38">
                  <c:v>-1.0992999999999999</c:v>
                </c:pt>
                <c:pt idx="39">
                  <c:v>-1.1168</c:v>
                </c:pt>
                <c:pt idx="40">
                  <c:v>-1.1282000000000001</c:v>
                </c:pt>
                <c:pt idx="41">
                  <c:v>-1.1214999999999999</c:v>
                </c:pt>
                <c:pt idx="42">
                  <c:v>-1.1148</c:v>
                </c:pt>
                <c:pt idx="43">
                  <c:v>-1.0919000000000001</c:v>
                </c:pt>
                <c:pt idx="44">
                  <c:v>-1.0690999999999999</c:v>
                </c:pt>
                <c:pt idx="45">
                  <c:v>-1.0379</c:v>
                </c:pt>
                <c:pt idx="46">
                  <c:v>-1.0066999999999999</c:v>
                </c:pt>
                <c:pt idx="47">
                  <c:v>-0.84789999999999999</c:v>
                </c:pt>
                <c:pt idx="48">
                  <c:v>-0.68920000000000003</c:v>
                </c:pt>
                <c:pt idx="49">
                  <c:v>-0.42780000000000001</c:v>
                </c:pt>
                <c:pt idx="50">
                  <c:v>-0.16650000000000001</c:v>
                </c:pt>
                <c:pt idx="51">
                  <c:v>8.6300000000000002E-2</c:v>
                </c:pt>
                <c:pt idx="52">
                  <c:v>0.33910000000000001</c:v>
                </c:pt>
                <c:pt idx="53">
                  <c:v>0.5867</c:v>
                </c:pt>
                <c:pt idx="54">
                  <c:v>0.83009999999999995</c:v>
                </c:pt>
                <c:pt idx="55">
                  <c:v>1.0656000000000001</c:v>
                </c:pt>
                <c:pt idx="56">
                  <c:v>1.2914000000000001</c:v>
                </c:pt>
                <c:pt idx="57">
                  <c:v>1.5012000000000001</c:v>
                </c:pt>
                <c:pt idx="58">
                  <c:v>1.6886000000000001</c:v>
                </c:pt>
                <c:pt idx="59">
                  <c:v>1.8103</c:v>
                </c:pt>
                <c:pt idx="60">
                  <c:v>1.8139000000000001</c:v>
                </c:pt>
                <c:pt idx="61">
                  <c:v>1.7544999999999999</c:v>
                </c:pt>
                <c:pt idx="62">
                  <c:v>1.6071</c:v>
                </c:pt>
                <c:pt idx="63">
                  <c:v>1.5257000000000001</c:v>
                </c:pt>
                <c:pt idx="64">
                  <c:v>1.4428000000000001</c:v>
                </c:pt>
                <c:pt idx="65">
                  <c:v>1.3826000000000001</c:v>
                </c:pt>
                <c:pt idx="66">
                  <c:v>1.3218000000000001</c:v>
                </c:pt>
                <c:pt idx="67">
                  <c:v>1.2583</c:v>
                </c:pt>
                <c:pt idx="68">
                  <c:v>1.1943999999999999</c:v>
                </c:pt>
                <c:pt idx="69">
                  <c:v>1.1734</c:v>
                </c:pt>
                <c:pt idx="70">
                  <c:v>1.1568000000000001</c:v>
                </c:pt>
                <c:pt idx="71">
                  <c:v>1.1378999999999999</c:v>
                </c:pt>
                <c:pt idx="72">
                  <c:v>1.1248</c:v>
                </c:pt>
                <c:pt idx="73">
                  <c:v>1.1176999999999999</c:v>
                </c:pt>
                <c:pt idx="74">
                  <c:v>1.1024</c:v>
                </c:pt>
                <c:pt idx="75">
                  <c:v>1.0891</c:v>
                </c:pt>
                <c:pt idx="76">
                  <c:v>1.0754999999999999</c:v>
                </c:pt>
                <c:pt idx="77">
                  <c:v>1.0175000000000001</c:v>
                </c:pt>
                <c:pt idx="78">
                  <c:v>0.97160000000000002</c:v>
                </c:pt>
                <c:pt idx="79">
                  <c:v>0.92679999999999996</c:v>
                </c:pt>
                <c:pt idx="80">
                  <c:v>0.86599999999999999</c:v>
                </c:pt>
                <c:pt idx="81">
                  <c:v>0.76600000000000001</c:v>
                </c:pt>
                <c:pt idx="82">
                  <c:v>0.64280000000000004</c:v>
                </c:pt>
                <c:pt idx="83">
                  <c:v>0.5</c:v>
                </c:pt>
                <c:pt idx="84">
                  <c:v>0.34200000000000003</c:v>
                </c:pt>
                <c:pt idx="85">
                  <c:v>0.1736</c:v>
                </c:pt>
                <c:pt idx="86">
                  <c:v>0</c:v>
                </c:pt>
                <c:pt idx="87">
                  <c:v>-0.1736</c:v>
                </c:pt>
                <c:pt idx="88">
                  <c:v>-0.34200000000000003</c:v>
                </c:pt>
                <c:pt idx="89">
                  <c:v>-0.5</c:v>
                </c:pt>
                <c:pt idx="90">
                  <c:v>-0.64280000000000004</c:v>
                </c:pt>
                <c:pt idx="91">
                  <c:v>-0.76600000000000001</c:v>
                </c:pt>
                <c:pt idx="92">
                  <c:v>-0.86599999999999999</c:v>
                </c:pt>
                <c:pt idx="93">
                  <c:v>-0.93969999999999998</c:v>
                </c:pt>
                <c:pt idx="94">
                  <c:v>-0.98480000000000001</c:v>
                </c:pt>
                <c:pt idx="95">
                  <c:v>-1</c:v>
                </c:pt>
                <c:pt idx="96">
                  <c:v>-0.98480000000000001</c:v>
                </c:pt>
                <c:pt idx="97">
                  <c:v>-0.93969999999999998</c:v>
                </c:pt>
                <c:pt idx="98">
                  <c:v>-0.86599999999999999</c:v>
                </c:pt>
                <c:pt idx="99">
                  <c:v>-0.76600000000000001</c:v>
                </c:pt>
                <c:pt idx="100">
                  <c:v>-0.64280000000000004</c:v>
                </c:pt>
                <c:pt idx="101">
                  <c:v>-0.5</c:v>
                </c:pt>
                <c:pt idx="102">
                  <c:v>-0.34200000000000003</c:v>
                </c:pt>
                <c:pt idx="103">
                  <c:v>-0.1736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B7-4ECC-A029-DB620B1F4280}"/>
            </c:ext>
          </c:extLst>
        </c:ser>
        <c:ser>
          <c:idx val="1"/>
          <c:order val="1"/>
          <c:tx>
            <c:v>Cd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ARFL!$A$3:$A$107</c:f>
              <c:numCache>
                <c:formatCode>General</c:formatCode>
                <c:ptCount val="105"/>
                <c:pt idx="0">
                  <c:v>-180</c:v>
                </c:pt>
                <c:pt idx="1">
                  <c:v>-175</c:v>
                </c:pt>
                <c:pt idx="2">
                  <c:v>-170</c:v>
                </c:pt>
                <c:pt idx="3">
                  <c:v>-165</c:v>
                </c:pt>
                <c:pt idx="4">
                  <c:v>-160</c:v>
                </c:pt>
                <c:pt idx="5">
                  <c:v>-155</c:v>
                </c:pt>
                <c:pt idx="6">
                  <c:v>-150</c:v>
                </c:pt>
                <c:pt idx="7">
                  <c:v>-145</c:v>
                </c:pt>
                <c:pt idx="8">
                  <c:v>-140</c:v>
                </c:pt>
                <c:pt idx="9">
                  <c:v>-135</c:v>
                </c:pt>
                <c:pt idx="10">
                  <c:v>-130</c:v>
                </c:pt>
                <c:pt idx="11">
                  <c:v>-125</c:v>
                </c:pt>
                <c:pt idx="12">
                  <c:v>-120</c:v>
                </c:pt>
                <c:pt idx="13">
                  <c:v>-115</c:v>
                </c:pt>
                <c:pt idx="14">
                  <c:v>-110</c:v>
                </c:pt>
                <c:pt idx="15">
                  <c:v>-105</c:v>
                </c:pt>
                <c:pt idx="16">
                  <c:v>-100</c:v>
                </c:pt>
                <c:pt idx="17">
                  <c:v>-95</c:v>
                </c:pt>
                <c:pt idx="18">
                  <c:v>-90</c:v>
                </c:pt>
                <c:pt idx="19">
                  <c:v>-85</c:v>
                </c:pt>
                <c:pt idx="20">
                  <c:v>-80</c:v>
                </c:pt>
                <c:pt idx="21">
                  <c:v>-75</c:v>
                </c:pt>
                <c:pt idx="22">
                  <c:v>-70</c:v>
                </c:pt>
                <c:pt idx="23">
                  <c:v>-65</c:v>
                </c:pt>
                <c:pt idx="24">
                  <c:v>-60</c:v>
                </c:pt>
                <c:pt idx="25">
                  <c:v>-55</c:v>
                </c:pt>
                <c:pt idx="26">
                  <c:v>-50</c:v>
                </c:pt>
                <c:pt idx="27">
                  <c:v>-45</c:v>
                </c:pt>
                <c:pt idx="28">
                  <c:v>-40</c:v>
                </c:pt>
                <c:pt idx="29">
                  <c:v>-39</c:v>
                </c:pt>
                <c:pt idx="30">
                  <c:v>-38</c:v>
                </c:pt>
                <c:pt idx="31">
                  <c:v>-37</c:v>
                </c:pt>
                <c:pt idx="32">
                  <c:v>-36</c:v>
                </c:pt>
                <c:pt idx="33">
                  <c:v>-35</c:v>
                </c:pt>
                <c:pt idx="34">
                  <c:v>-34</c:v>
                </c:pt>
                <c:pt idx="35">
                  <c:v>-33</c:v>
                </c:pt>
                <c:pt idx="36">
                  <c:v>-32</c:v>
                </c:pt>
                <c:pt idx="37">
                  <c:v>-30</c:v>
                </c:pt>
                <c:pt idx="38">
                  <c:v>-28</c:v>
                </c:pt>
                <c:pt idx="39">
                  <c:v>-26</c:v>
                </c:pt>
                <c:pt idx="40">
                  <c:v>-24</c:v>
                </c:pt>
                <c:pt idx="41">
                  <c:v>-22</c:v>
                </c:pt>
                <c:pt idx="42">
                  <c:v>-20</c:v>
                </c:pt>
                <c:pt idx="43">
                  <c:v>-18</c:v>
                </c:pt>
                <c:pt idx="44">
                  <c:v>-16</c:v>
                </c:pt>
                <c:pt idx="45">
                  <c:v>-14</c:v>
                </c:pt>
                <c:pt idx="46">
                  <c:v>-12</c:v>
                </c:pt>
                <c:pt idx="47">
                  <c:v>-10</c:v>
                </c:pt>
                <c:pt idx="48">
                  <c:v>-8</c:v>
                </c:pt>
                <c:pt idx="49">
                  <c:v>-6</c:v>
                </c:pt>
                <c:pt idx="50">
                  <c:v>-4</c:v>
                </c:pt>
                <c:pt idx="51">
                  <c:v>-2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6</c:v>
                </c:pt>
                <c:pt idx="56">
                  <c:v>8</c:v>
                </c:pt>
                <c:pt idx="57">
                  <c:v>10</c:v>
                </c:pt>
                <c:pt idx="58">
                  <c:v>12</c:v>
                </c:pt>
                <c:pt idx="59">
                  <c:v>14</c:v>
                </c:pt>
                <c:pt idx="60">
                  <c:v>16</c:v>
                </c:pt>
                <c:pt idx="61">
                  <c:v>18</c:v>
                </c:pt>
                <c:pt idx="62">
                  <c:v>20</c:v>
                </c:pt>
                <c:pt idx="63">
                  <c:v>22</c:v>
                </c:pt>
                <c:pt idx="64">
                  <c:v>24</c:v>
                </c:pt>
                <c:pt idx="65">
                  <c:v>26</c:v>
                </c:pt>
                <c:pt idx="66">
                  <c:v>28</c:v>
                </c:pt>
                <c:pt idx="67">
                  <c:v>30</c:v>
                </c:pt>
                <c:pt idx="68">
                  <c:v>32</c:v>
                </c:pt>
                <c:pt idx="69">
                  <c:v>33</c:v>
                </c:pt>
                <c:pt idx="70">
                  <c:v>34</c:v>
                </c:pt>
                <c:pt idx="71">
                  <c:v>35</c:v>
                </c:pt>
                <c:pt idx="72">
                  <c:v>36</c:v>
                </c:pt>
                <c:pt idx="73">
                  <c:v>37</c:v>
                </c:pt>
                <c:pt idx="74">
                  <c:v>38</c:v>
                </c:pt>
                <c:pt idx="75">
                  <c:v>39</c:v>
                </c:pt>
                <c:pt idx="76">
                  <c:v>40</c:v>
                </c:pt>
                <c:pt idx="77">
                  <c:v>45</c:v>
                </c:pt>
                <c:pt idx="78">
                  <c:v>50</c:v>
                </c:pt>
                <c:pt idx="79">
                  <c:v>55</c:v>
                </c:pt>
                <c:pt idx="80">
                  <c:v>60</c:v>
                </c:pt>
                <c:pt idx="81">
                  <c:v>65</c:v>
                </c:pt>
                <c:pt idx="82">
                  <c:v>70</c:v>
                </c:pt>
                <c:pt idx="83">
                  <c:v>75</c:v>
                </c:pt>
                <c:pt idx="84">
                  <c:v>80</c:v>
                </c:pt>
                <c:pt idx="85">
                  <c:v>85</c:v>
                </c:pt>
                <c:pt idx="86">
                  <c:v>90</c:v>
                </c:pt>
                <c:pt idx="87">
                  <c:v>95</c:v>
                </c:pt>
                <c:pt idx="88">
                  <c:v>100</c:v>
                </c:pt>
                <c:pt idx="89">
                  <c:v>105</c:v>
                </c:pt>
                <c:pt idx="90">
                  <c:v>110</c:v>
                </c:pt>
                <c:pt idx="91">
                  <c:v>115</c:v>
                </c:pt>
                <c:pt idx="92">
                  <c:v>120</c:v>
                </c:pt>
                <c:pt idx="93">
                  <c:v>125</c:v>
                </c:pt>
                <c:pt idx="94">
                  <c:v>130</c:v>
                </c:pt>
                <c:pt idx="95">
                  <c:v>135</c:v>
                </c:pt>
                <c:pt idx="96">
                  <c:v>140</c:v>
                </c:pt>
                <c:pt idx="97">
                  <c:v>145</c:v>
                </c:pt>
                <c:pt idx="98">
                  <c:v>150</c:v>
                </c:pt>
                <c:pt idx="99">
                  <c:v>155</c:v>
                </c:pt>
                <c:pt idx="100">
                  <c:v>160</c:v>
                </c:pt>
                <c:pt idx="101">
                  <c:v>165</c:v>
                </c:pt>
                <c:pt idx="102">
                  <c:v>170</c:v>
                </c:pt>
                <c:pt idx="103">
                  <c:v>175</c:v>
                </c:pt>
                <c:pt idx="104">
                  <c:v>180</c:v>
                </c:pt>
              </c:numCache>
            </c:numRef>
          </c:xVal>
          <c:yVal>
            <c:numRef>
              <c:f>ARFL!$C$3:$C$107</c:f>
              <c:numCache>
                <c:formatCode>0.000</c:formatCode>
                <c:ptCount val="105"/>
                <c:pt idx="0">
                  <c:v>0</c:v>
                </c:pt>
                <c:pt idx="1">
                  <c:v>1.14E-2</c:v>
                </c:pt>
                <c:pt idx="2">
                  <c:v>4.5199999999999997E-2</c:v>
                </c:pt>
                <c:pt idx="3">
                  <c:v>0.10050000000000001</c:v>
                </c:pt>
                <c:pt idx="4">
                  <c:v>0.17549999999999999</c:v>
                </c:pt>
                <c:pt idx="5">
                  <c:v>0.26790000000000003</c:v>
                </c:pt>
                <c:pt idx="6">
                  <c:v>0.375</c:v>
                </c:pt>
                <c:pt idx="7">
                  <c:v>0.49349999999999999</c:v>
                </c:pt>
                <c:pt idx="8">
                  <c:v>0.61970000000000003</c:v>
                </c:pt>
                <c:pt idx="9">
                  <c:v>0.75</c:v>
                </c:pt>
                <c:pt idx="10">
                  <c:v>0.88029999999999997</c:v>
                </c:pt>
                <c:pt idx="11">
                  <c:v>1.0065</c:v>
                </c:pt>
                <c:pt idx="12">
                  <c:v>1.125</c:v>
                </c:pt>
                <c:pt idx="13">
                  <c:v>1.2321</c:v>
                </c:pt>
                <c:pt idx="14">
                  <c:v>1.3245</c:v>
                </c:pt>
                <c:pt idx="15">
                  <c:v>1.3995</c:v>
                </c:pt>
                <c:pt idx="16">
                  <c:v>1.4548000000000001</c:v>
                </c:pt>
                <c:pt idx="17">
                  <c:v>1.4885999999999999</c:v>
                </c:pt>
                <c:pt idx="18">
                  <c:v>1.5</c:v>
                </c:pt>
                <c:pt idx="19">
                  <c:v>1.4885999999999999</c:v>
                </c:pt>
                <c:pt idx="20">
                  <c:v>1.4548000000000001</c:v>
                </c:pt>
                <c:pt idx="21">
                  <c:v>1.3995</c:v>
                </c:pt>
                <c:pt idx="22">
                  <c:v>1.3245</c:v>
                </c:pt>
                <c:pt idx="23">
                  <c:v>1.2321</c:v>
                </c:pt>
                <c:pt idx="24">
                  <c:v>1.125</c:v>
                </c:pt>
                <c:pt idx="25">
                  <c:v>1.0065</c:v>
                </c:pt>
                <c:pt idx="26">
                  <c:v>0.86029999999999995</c:v>
                </c:pt>
                <c:pt idx="27">
                  <c:v>0.71199999999999997</c:v>
                </c:pt>
                <c:pt idx="28">
                  <c:v>0.54749999999999999</c:v>
                </c:pt>
                <c:pt idx="29">
                  <c:v>0.51649999999999996</c:v>
                </c:pt>
                <c:pt idx="30">
                  <c:v>0.48159999999999997</c:v>
                </c:pt>
                <c:pt idx="31">
                  <c:v>0.44869999999999999</c:v>
                </c:pt>
                <c:pt idx="32">
                  <c:v>0.41770000000000002</c:v>
                </c:pt>
                <c:pt idx="33">
                  <c:v>0.38479999999999998</c:v>
                </c:pt>
                <c:pt idx="34">
                  <c:v>0.35580000000000001</c:v>
                </c:pt>
                <c:pt idx="35">
                  <c:v>0.32890000000000003</c:v>
                </c:pt>
                <c:pt idx="36">
                  <c:v>0.30309999999999998</c:v>
                </c:pt>
                <c:pt idx="37">
                  <c:v>0.25600000000000001</c:v>
                </c:pt>
                <c:pt idx="38">
                  <c:v>0.20899999999999999</c:v>
                </c:pt>
                <c:pt idx="39">
                  <c:v>0.17560000000000001</c:v>
                </c:pt>
                <c:pt idx="40">
                  <c:v>0.14230000000000001</c:v>
                </c:pt>
                <c:pt idx="41">
                  <c:v>0.1183</c:v>
                </c:pt>
                <c:pt idx="42">
                  <c:v>9.4299999999999995E-2</c:v>
                </c:pt>
                <c:pt idx="43">
                  <c:v>7.6499999999999999E-2</c:v>
                </c:pt>
                <c:pt idx="44">
                  <c:v>5.8700000000000002E-2</c:v>
                </c:pt>
                <c:pt idx="45">
                  <c:v>4.5400000000000003E-2</c:v>
                </c:pt>
                <c:pt idx="46">
                  <c:v>3.2099999999999997E-2</c:v>
                </c:pt>
                <c:pt idx="47">
                  <c:v>2.3E-2</c:v>
                </c:pt>
                <c:pt idx="48">
                  <c:v>1.38E-2</c:v>
                </c:pt>
                <c:pt idx="49">
                  <c:v>1.18E-2</c:v>
                </c:pt>
                <c:pt idx="50">
                  <c:v>9.7999999999999997E-3</c:v>
                </c:pt>
                <c:pt idx="51">
                  <c:v>9.4999999999999998E-3</c:v>
                </c:pt>
                <c:pt idx="52">
                  <c:v>9.1999999999999998E-3</c:v>
                </c:pt>
                <c:pt idx="53">
                  <c:v>9.4000000000000004E-3</c:v>
                </c:pt>
                <c:pt idx="54">
                  <c:v>9.9000000000000008E-3</c:v>
                </c:pt>
                <c:pt idx="55">
                  <c:v>1.09E-2</c:v>
                </c:pt>
                <c:pt idx="56">
                  <c:v>1.24E-2</c:v>
                </c:pt>
                <c:pt idx="57">
                  <c:v>1.44E-2</c:v>
                </c:pt>
                <c:pt idx="58">
                  <c:v>1.7299999999999999E-2</c:v>
                </c:pt>
                <c:pt idx="59">
                  <c:v>2.2599999999999999E-2</c:v>
                </c:pt>
                <c:pt idx="60">
                  <c:v>3.5400000000000001E-2</c:v>
                </c:pt>
                <c:pt idx="61">
                  <c:v>6.4699999999999994E-2</c:v>
                </c:pt>
                <c:pt idx="62">
                  <c:v>0.10349999999999999</c:v>
                </c:pt>
                <c:pt idx="63">
                  <c:v>0.14369999999999999</c:v>
                </c:pt>
                <c:pt idx="64">
                  <c:v>0.18410000000000001</c:v>
                </c:pt>
                <c:pt idx="65">
                  <c:v>0.22900000000000001</c:v>
                </c:pt>
                <c:pt idx="66">
                  <c:v>0.27379999999999999</c:v>
                </c:pt>
                <c:pt idx="67">
                  <c:v>0.32779999999999998</c:v>
                </c:pt>
                <c:pt idx="68">
                  <c:v>0.38159999999999999</c:v>
                </c:pt>
                <c:pt idx="69">
                  <c:v>0.4209</c:v>
                </c:pt>
                <c:pt idx="70">
                  <c:v>0.45040000000000002</c:v>
                </c:pt>
                <c:pt idx="71">
                  <c:v>0.48149999999999998</c:v>
                </c:pt>
                <c:pt idx="72">
                  <c:v>0.51049999999999995</c:v>
                </c:pt>
                <c:pt idx="73">
                  <c:v>0.54500000000000004</c:v>
                </c:pt>
                <c:pt idx="74">
                  <c:v>0.57369999999999999</c:v>
                </c:pt>
                <c:pt idx="75">
                  <c:v>0.59989999999999999</c:v>
                </c:pt>
                <c:pt idx="76">
                  <c:v>0.628</c:v>
                </c:pt>
                <c:pt idx="77">
                  <c:v>0.75780000000000003</c:v>
                </c:pt>
                <c:pt idx="78">
                  <c:v>0.88200000000000001</c:v>
                </c:pt>
                <c:pt idx="79">
                  <c:v>1.0104</c:v>
                </c:pt>
                <c:pt idx="80">
                  <c:v>1.125</c:v>
                </c:pt>
                <c:pt idx="81">
                  <c:v>1.2321</c:v>
                </c:pt>
                <c:pt idx="82">
                  <c:v>1.3245</c:v>
                </c:pt>
                <c:pt idx="83">
                  <c:v>1.3995</c:v>
                </c:pt>
                <c:pt idx="84">
                  <c:v>1.4548000000000001</c:v>
                </c:pt>
                <c:pt idx="85">
                  <c:v>1.4885999999999999</c:v>
                </c:pt>
                <c:pt idx="86">
                  <c:v>1.5</c:v>
                </c:pt>
                <c:pt idx="87">
                  <c:v>1.4885999999999999</c:v>
                </c:pt>
                <c:pt idx="88">
                  <c:v>1.4548000000000001</c:v>
                </c:pt>
                <c:pt idx="89">
                  <c:v>1.3995</c:v>
                </c:pt>
                <c:pt idx="90">
                  <c:v>1.3245</c:v>
                </c:pt>
                <c:pt idx="91">
                  <c:v>1.2321</c:v>
                </c:pt>
                <c:pt idx="92">
                  <c:v>1.125</c:v>
                </c:pt>
                <c:pt idx="93">
                  <c:v>1.0065</c:v>
                </c:pt>
                <c:pt idx="94">
                  <c:v>0.88029999999999997</c:v>
                </c:pt>
                <c:pt idx="95">
                  <c:v>0.75</c:v>
                </c:pt>
                <c:pt idx="96">
                  <c:v>0.61970000000000003</c:v>
                </c:pt>
                <c:pt idx="97">
                  <c:v>0.49349999999999999</c:v>
                </c:pt>
                <c:pt idx="98">
                  <c:v>0.375</c:v>
                </c:pt>
                <c:pt idx="99">
                  <c:v>0.26790000000000003</c:v>
                </c:pt>
                <c:pt idx="100">
                  <c:v>0.17549999999999999</c:v>
                </c:pt>
                <c:pt idx="101">
                  <c:v>0.10050000000000001</c:v>
                </c:pt>
                <c:pt idx="102">
                  <c:v>4.5199999999999997E-2</c:v>
                </c:pt>
                <c:pt idx="103">
                  <c:v>1.14E-2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B7-4ECC-A029-DB620B1F4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547152"/>
        <c:axId val="1409549072"/>
      </c:scatterChart>
      <c:valAx>
        <c:axId val="1409547152"/>
        <c:scaling>
          <c:orientation val="minMax"/>
          <c:max val="5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Angle of Attack (deg)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9549072"/>
        <c:crossesAt val="-1.5"/>
        <c:crossBetween val="midCat"/>
        <c:majorUnit val="10"/>
      </c:valAx>
      <c:valAx>
        <c:axId val="140954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Cl and Cd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9547152"/>
        <c:crossesAt val="-20"/>
        <c:crossBetween val="midCat"/>
      </c:valAx>
      <c:spPr>
        <a:noFill/>
        <a:ln>
          <a:noFill/>
        </a:ln>
        <a:effectLst/>
      </c:spPr>
    </c:plotArea>
    <c:legend>
      <c:legendPos val="t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ayout>
        <c:manualLayout>
          <c:xMode val="edge"/>
          <c:yMode val="edge"/>
          <c:x val="0.81089099954771615"/>
          <c:y val="0.12285613420590547"/>
          <c:w val="0.130140279276488"/>
          <c:h val="0.1411892324066916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Thrust Coef.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Performance!$B$13:$B$21</c:f>
              <c:numCache>
                <c:formatCode>0.000</c:formatCode>
                <c:ptCount val="9"/>
                <c:pt idx="0">
                  <c:v>0.15</c:v>
                </c:pt>
                <c:pt idx="1">
                  <c:v>0.25</c:v>
                </c:pt>
                <c:pt idx="2">
                  <c:v>0.35</c:v>
                </c:pt>
                <c:pt idx="3">
                  <c:v>0.44999999999999996</c:v>
                </c:pt>
                <c:pt idx="4">
                  <c:v>0.54999999999999993</c:v>
                </c:pt>
                <c:pt idx="5">
                  <c:v>0.64999999999999991</c:v>
                </c:pt>
                <c:pt idx="6">
                  <c:v>0.74999999999999989</c:v>
                </c:pt>
                <c:pt idx="7">
                  <c:v>0.84999999999999987</c:v>
                </c:pt>
                <c:pt idx="8">
                  <c:v>0.94999999999999984</c:v>
                </c:pt>
              </c:numCache>
            </c:numRef>
          </c:xVal>
          <c:yVal>
            <c:numRef>
              <c:f>Performance!$P$13:$P$21</c:f>
              <c:numCache>
                <c:formatCode>General</c:formatCode>
                <c:ptCount val="9"/>
                <c:pt idx="0">
                  <c:v>6.1302868293464069E-2</c:v>
                </c:pt>
                <c:pt idx="1">
                  <c:v>0.27541250803419787</c:v>
                </c:pt>
                <c:pt idx="2">
                  <c:v>0.60070685572449056</c:v>
                </c:pt>
                <c:pt idx="3">
                  <c:v>0.926647948778207</c:v>
                </c:pt>
                <c:pt idx="4">
                  <c:v>1.1948892916288212</c:v>
                </c:pt>
                <c:pt idx="5">
                  <c:v>1.3460066846153025</c:v>
                </c:pt>
                <c:pt idx="6">
                  <c:v>1.3810083517343406</c:v>
                </c:pt>
                <c:pt idx="7">
                  <c:v>1.3734614257252988</c:v>
                </c:pt>
                <c:pt idx="8">
                  <c:v>1.221551320963735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D6-45CB-BBBF-972B64A41518}"/>
            </c:ext>
          </c:extLst>
        </c:ser>
        <c:ser>
          <c:idx val="1"/>
          <c:order val="1"/>
          <c:tx>
            <c:v>Torque Coef.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Performance!$B$13:$B$21</c:f>
              <c:numCache>
                <c:formatCode>0.000</c:formatCode>
                <c:ptCount val="9"/>
                <c:pt idx="0">
                  <c:v>0.15</c:v>
                </c:pt>
                <c:pt idx="1">
                  <c:v>0.25</c:v>
                </c:pt>
                <c:pt idx="2">
                  <c:v>0.35</c:v>
                </c:pt>
                <c:pt idx="3">
                  <c:v>0.44999999999999996</c:v>
                </c:pt>
                <c:pt idx="4">
                  <c:v>0.54999999999999993</c:v>
                </c:pt>
                <c:pt idx="5">
                  <c:v>0.64999999999999991</c:v>
                </c:pt>
                <c:pt idx="6">
                  <c:v>0.74999999999999989</c:v>
                </c:pt>
                <c:pt idx="7">
                  <c:v>0.84999999999999987</c:v>
                </c:pt>
                <c:pt idx="8">
                  <c:v>0.94999999999999984</c:v>
                </c:pt>
              </c:numCache>
            </c:numRef>
          </c:xVal>
          <c:yVal>
            <c:numRef>
              <c:f>Performance!$Q$13:$Q$21</c:f>
              <c:numCache>
                <c:formatCode>General</c:formatCode>
                <c:ptCount val="9"/>
                <c:pt idx="0">
                  <c:v>2.889678968091897E-2</c:v>
                </c:pt>
                <c:pt idx="1">
                  <c:v>0.2166310337017846</c:v>
                </c:pt>
                <c:pt idx="2">
                  <c:v>0.65731191839189851</c:v>
                </c:pt>
                <c:pt idx="3">
                  <c:v>1.2853622013181818</c:v>
                </c:pt>
                <c:pt idx="4">
                  <c:v>1.9582674755209635</c:v>
                </c:pt>
                <c:pt idx="5">
                  <c:v>2.4426885523365289</c:v>
                </c:pt>
                <c:pt idx="6">
                  <c:v>2.6582179378066044</c:v>
                </c:pt>
                <c:pt idx="7">
                  <c:v>2.772842456850749</c:v>
                </c:pt>
                <c:pt idx="8">
                  <c:v>2.537312370606005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D6-45CB-BBBF-972B64A41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870608"/>
        <c:axId val="781875888"/>
      </c:scatterChart>
      <c:valAx>
        <c:axId val="78187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r/R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75888"/>
        <c:crosses val="autoZero"/>
        <c:crossBetween val="midCat"/>
      </c:valAx>
      <c:valAx>
        <c:axId val="78187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Coefficients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7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Sectional Axial Force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Performance!$B$13:$B$21</c:f>
              <c:numCache>
                <c:formatCode>0.000</c:formatCode>
                <c:ptCount val="9"/>
                <c:pt idx="0">
                  <c:v>0.15</c:v>
                </c:pt>
                <c:pt idx="1">
                  <c:v>0.25</c:v>
                </c:pt>
                <c:pt idx="2">
                  <c:v>0.35</c:v>
                </c:pt>
                <c:pt idx="3">
                  <c:v>0.44999999999999996</c:v>
                </c:pt>
                <c:pt idx="4">
                  <c:v>0.54999999999999993</c:v>
                </c:pt>
                <c:pt idx="5">
                  <c:v>0.64999999999999991</c:v>
                </c:pt>
                <c:pt idx="6">
                  <c:v>0.74999999999999989</c:v>
                </c:pt>
                <c:pt idx="7">
                  <c:v>0.84999999999999987</c:v>
                </c:pt>
                <c:pt idx="8">
                  <c:v>0.94999999999999984</c:v>
                </c:pt>
              </c:numCache>
            </c:numRef>
          </c:xVal>
          <c:yVal>
            <c:numRef>
              <c:f>Performance!$N$13:$N$21</c:f>
              <c:numCache>
                <c:formatCode>General</c:formatCode>
                <c:ptCount val="9"/>
                <c:pt idx="0">
                  <c:v>2545.3728734068732</c:v>
                </c:pt>
                <c:pt idx="1">
                  <c:v>11435.47678048763</c:v>
                </c:pt>
                <c:pt idx="2">
                  <c:v>24942.110834211562</c:v>
                </c:pt>
                <c:pt idx="3">
                  <c:v>38475.598576023622</c:v>
                </c:pt>
                <c:pt idx="4">
                  <c:v>49613.319479222882</c:v>
                </c:pt>
                <c:pt idx="5">
                  <c:v>55887.905375699862</c:v>
                </c:pt>
                <c:pt idx="6">
                  <c:v>57341.219005044601</c:v>
                </c:pt>
                <c:pt idx="7">
                  <c:v>57027.861061513082</c:v>
                </c:pt>
                <c:pt idx="8">
                  <c:v>50720.360766331847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0B-4840-BE23-8B3589E90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870608"/>
        <c:axId val="781875888"/>
      </c:scatterChart>
      <c:scatterChart>
        <c:scatterStyle val="smoothMarker"/>
        <c:varyColors val="0"/>
        <c:ser>
          <c:idx val="1"/>
          <c:order val="1"/>
          <c:tx>
            <c:v>Sectional Tangential Force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Performance!$B$13:$B$21</c:f>
              <c:numCache>
                <c:formatCode>0.000</c:formatCode>
                <c:ptCount val="9"/>
                <c:pt idx="0">
                  <c:v>0.15</c:v>
                </c:pt>
                <c:pt idx="1">
                  <c:v>0.25</c:v>
                </c:pt>
                <c:pt idx="2">
                  <c:v>0.35</c:v>
                </c:pt>
                <c:pt idx="3">
                  <c:v>0.44999999999999996</c:v>
                </c:pt>
                <c:pt idx="4">
                  <c:v>0.54999999999999993</c:v>
                </c:pt>
                <c:pt idx="5">
                  <c:v>0.64999999999999991</c:v>
                </c:pt>
                <c:pt idx="6">
                  <c:v>0.74999999999999989</c:v>
                </c:pt>
                <c:pt idx="7">
                  <c:v>0.84999999999999987</c:v>
                </c:pt>
                <c:pt idx="8">
                  <c:v>0.94999999999999984</c:v>
                </c:pt>
              </c:numCache>
            </c:numRef>
          </c:xVal>
          <c:yVal>
            <c:numRef>
              <c:f>Performance!$O$13:$O$21</c:f>
              <c:numCache>
                <c:formatCode>General</c:formatCode>
                <c:ptCount val="9"/>
                <c:pt idx="0">
                  <c:v>897.0768919151318</c:v>
                </c:pt>
                <c:pt idx="1">
                  <c:v>4035.0785651573237</c:v>
                </c:pt>
                <c:pt idx="2">
                  <c:v>8745.3016548232044</c:v>
                </c:pt>
                <c:pt idx="3">
                  <c:v>13301.001498505526</c:v>
                </c:pt>
                <c:pt idx="4">
                  <c:v>16579.85213654902</c:v>
                </c:pt>
                <c:pt idx="5">
                  <c:v>17499.517409610369</c:v>
                </c:pt>
                <c:pt idx="6">
                  <c:v>16504.434658741407</c:v>
                </c:pt>
                <c:pt idx="7">
                  <c:v>15190.693501792011</c:v>
                </c:pt>
                <c:pt idx="8">
                  <c:v>12437.172653950405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0B-4840-BE23-8B3589E90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520223"/>
        <c:axId val="1125515423"/>
      </c:scatterChart>
      <c:valAx>
        <c:axId val="78187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r/R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75888"/>
        <c:crosses val="autoZero"/>
        <c:crossBetween val="midCat"/>
      </c:valAx>
      <c:valAx>
        <c:axId val="78187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Faxi / </a:t>
                </a:r>
                <a:r>
                  <a:rPr lang="el-GR"/>
                  <a:t>Δ</a:t>
                </a:r>
                <a:r>
                  <a:rPr lang="en-GB"/>
                  <a:t>r (N/m)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70608"/>
        <c:crosses val="autoZero"/>
        <c:crossBetween val="midCat"/>
      </c:valAx>
      <c:valAx>
        <c:axId val="112551542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Ftan / </a:t>
                </a:r>
                <a:r>
                  <a:rPr lang="el-GR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Δ</a:t>
                </a:r>
                <a:r>
                  <a: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r (N/m)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5520223"/>
        <c:crosses val="max"/>
        <c:crossBetween val="midCat"/>
      </c:valAx>
      <c:valAx>
        <c:axId val="1125520223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1125515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Operation Power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OpCurve!$A$4:$A$26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11.5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</c:numCache>
            </c:numRef>
          </c:xVal>
          <c:yVal>
            <c:numRef>
              <c:f>OpCurve!$F$4:$F$26</c:f>
              <c:numCache>
                <c:formatCode>0.000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1B-4362-B48A-33A62ECC5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588944"/>
        <c:axId val="1501589904"/>
      </c:scatterChart>
      <c:scatterChart>
        <c:scatterStyle val="smoothMarker"/>
        <c:varyColors val="0"/>
        <c:ser>
          <c:idx val="1"/>
          <c:order val="1"/>
          <c:tx>
            <c:v>Cp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OpCurve!$A$4:$A$26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11.5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</c:numCache>
            </c:numRef>
          </c:xVal>
          <c:yVal>
            <c:numRef>
              <c:f>OpCurve!$G$4:$G$26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1B-4362-B48A-33A62ECC5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986784"/>
        <c:axId val="1787987744"/>
      </c:scatterChart>
      <c:valAx>
        <c:axId val="150158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Wind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01589904"/>
        <c:crosses val="autoZero"/>
        <c:crossBetween val="midCat"/>
      </c:valAx>
      <c:valAx>
        <c:axId val="1501589904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Power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01588944"/>
        <c:crosses val="autoZero"/>
        <c:crossBetween val="midCat"/>
        <c:majorUnit val="3"/>
      </c:valAx>
      <c:valAx>
        <c:axId val="1787987744"/>
        <c:scaling>
          <c:orientation val="minMax"/>
          <c:max val="0.5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87986784"/>
        <c:crosses val="max"/>
        <c:crossBetween val="midCat"/>
        <c:majorUnit val="0.1"/>
      </c:valAx>
      <c:valAx>
        <c:axId val="1787986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87987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TSR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OpCurve!$A$4:$A$26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11.5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</c:numCache>
            </c:numRef>
          </c:xVal>
          <c:yVal>
            <c:numRef>
              <c:f>OpCurve!$B$4:$B$26</c:f>
              <c:numCache>
                <c:formatCode>0.000</c:formatCode>
                <c:ptCount val="23"/>
                <c:pt idx="0">
                  <c:v>7.7</c:v>
                </c:pt>
                <c:pt idx="1">
                  <c:v>7.7</c:v>
                </c:pt>
                <c:pt idx="2">
                  <c:v>7.7</c:v>
                </c:pt>
                <c:pt idx="3">
                  <c:v>7.7</c:v>
                </c:pt>
                <c:pt idx="4">
                  <c:v>7.7</c:v>
                </c:pt>
                <c:pt idx="5">
                  <c:v>7.7</c:v>
                </c:pt>
                <c:pt idx="6">
                  <c:v>7.7</c:v>
                </c:pt>
                <c:pt idx="7">
                  <c:v>7.7</c:v>
                </c:pt>
                <c:pt idx="8">
                  <c:v>7.7</c:v>
                </c:pt>
                <c:pt idx="9">
                  <c:v>7.1669999999999998</c:v>
                </c:pt>
                <c:pt idx="10">
                  <c:v>6.6159999999999997</c:v>
                </c:pt>
                <c:pt idx="11">
                  <c:v>6.1429999999999998</c:v>
                </c:pt>
                <c:pt idx="12">
                  <c:v>5.7338116907020771</c:v>
                </c:pt>
                <c:pt idx="13">
                  <c:v>5.3754484600331978</c:v>
                </c:pt>
                <c:pt idx="14">
                  <c:v>5.0592456094430105</c:v>
                </c:pt>
                <c:pt idx="15">
                  <c:v>4.7781764089183945</c:v>
                </c:pt>
                <c:pt idx="16">
                  <c:v>4.5266934400279544</c:v>
                </c:pt>
                <c:pt idx="17">
                  <c:v>4.3003587680265571</c:v>
                </c:pt>
                <c:pt idx="18">
                  <c:v>4.0955797790729118</c:v>
                </c:pt>
                <c:pt idx="19">
                  <c:v>3.9094170618423267</c:v>
                </c:pt>
                <c:pt idx="20">
                  <c:v>3.7394424069796148</c:v>
                </c:pt>
                <c:pt idx="21">
                  <c:v>3.5836323066888003</c:v>
                </c:pt>
                <c:pt idx="22">
                  <c:v>3.4402870144212465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5D-42BD-87B2-BB75495C8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588944"/>
        <c:axId val="1501589904"/>
      </c:scatterChart>
      <c:scatterChart>
        <c:scatterStyle val="smoothMarker"/>
        <c:varyColors val="0"/>
        <c:ser>
          <c:idx val="1"/>
          <c:order val="1"/>
          <c:tx>
            <c:v>Pitch Angle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OpCurve!$A$4:$A$26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11.5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</c:numCache>
            </c:numRef>
          </c:xVal>
          <c:yVal>
            <c:numRef>
              <c:f>OpCurve!$E$4:$E$26</c:f>
              <c:numCache>
                <c:formatCode>0.000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5.22</c:v>
                </c:pt>
                <c:pt idx="10">
                  <c:v>7.6239999999999997</c:v>
                </c:pt>
                <c:pt idx="11">
                  <c:v>9.4819999999999993</c:v>
                </c:pt>
                <c:pt idx="12">
                  <c:v>11.098000000000001</c:v>
                </c:pt>
                <c:pt idx="13">
                  <c:v>12.537000000000001</c:v>
                </c:pt>
                <c:pt idx="14">
                  <c:v>13.852</c:v>
                </c:pt>
                <c:pt idx="15">
                  <c:v>15.125999999999999</c:v>
                </c:pt>
                <c:pt idx="16">
                  <c:v>16.286999999999999</c:v>
                </c:pt>
                <c:pt idx="17">
                  <c:v>17.425000000000001</c:v>
                </c:pt>
                <c:pt idx="18">
                  <c:v>18.486000000000001</c:v>
                </c:pt>
                <c:pt idx="19">
                  <c:v>19.55</c:v>
                </c:pt>
                <c:pt idx="20">
                  <c:v>20.56</c:v>
                </c:pt>
                <c:pt idx="21">
                  <c:v>21.544</c:v>
                </c:pt>
                <c:pt idx="22">
                  <c:v>22.484999999999999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D3-4EA3-9F19-330CDBD1B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1480416"/>
        <c:axId val="1541490016"/>
      </c:scatterChart>
      <c:valAx>
        <c:axId val="150158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01589904"/>
        <c:crosses val="autoZero"/>
        <c:crossBetween val="midCat"/>
      </c:valAx>
      <c:valAx>
        <c:axId val="1501589904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TSR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01588944"/>
        <c:crosses val="autoZero"/>
        <c:crossBetween val="midCat"/>
        <c:majorUnit val="3"/>
      </c:valAx>
      <c:valAx>
        <c:axId val="1541490016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Pitch Angle (deg)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41480416"/>
        <c:crosses val="max"/>
        <c:crossBetween val="midCat"/>
      </c:valAx>
      <c:valAx>
        <c:axId val="1541480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41490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47626</xdr:colOff>
      <xdr:row>1</xdr:row>
      <xdr:rowOff>52386</xdr:rowOff>
    </xdr:from>
    <xdr:to>
      <xdr:col>10</xdr:col>
      <xdr:colOff>990600</xdr:colOff>
      <xdr:row>18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0F64E2-5873-32D2-A80D-AD0370D41B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57148</xdr:colOff>
      <xdr:row>20</xdr:row>
      <xdr:rowOff>47625</xdr:rowOff>
    </xdr:from>
    <xdr:to>
      <xdr:col>10</xdr:col>
      <xdr:colOff>990599</xdr:colOff>
      <xdr:row>37</xdr:row>
      <xdr:rowOff>109538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1FE43C-3CFB-4998-9AEC-76E5D3206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485774</xdr:colOff>
      <xdr:row>2</xdr:row>
      <xdr:rowOff>4761</xdr:rowOff>
    </xdr:from>
    <xdr:to>
      <xdr:col>16</xdr:col>
      <xdr:colOff>190499</xdr:colOff>
      <xdr:row>25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34915A-5E27-BD8D-1F70-5B08022126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2</xdr:row>
          <xdr:rowOff>76200</xdr:rowOff>
        </xdr:from>
        <xdr:to>
          <xdr:col>5</xdr:col>
          <xdr:colOff>723900</xdr:colOff>
          <xdr:row>4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zh-CN" altLang="en-US" sz="2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5</xdr:row>
          <xdr:rowOff>69850</xdr:rowOff>
        </xdr:from>
        <xdr:to>
          <xdr:col>5</xdr:col>
          <xdr:colOff>717550</xdr:colOff>
          <xdr:row>7</xdr:row>
          <xdr:rowOff>184150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zh-CN" altLang="en-US" sz="2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85725</xdr:colOff>
      <xdr:row>0</xdr:row>
      <xdr:rowOff>204786</xdr:rowOff>
    </xdr:from>
    <xdr:to>
      <xdr:col>20</xdr:col>
      <xdr:colOff>762000</xdr:colOff>
      <xdr:row>9</xdr:row>
      <xdr:rowOff>285749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2C6F3B-630F-0635-A720-D5E3961BE0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133350</xdr:colOff>
      <xdr:row>0</xdr:row>
      <xdr:rowOff>180975</xdr:rowOff>
    </xdr:from>
    <xdr:to>
      <xdr:col>14</xdr:col>
      <xdr:colOff>809625</xdr:colOff>
      <xdr:row>9</xdr:row>
      <xdr:rowOff>261938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CED3E6D-5CDF-40F0-9EB6-E29655CB9B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133349</xdr:colOff>
      <xdr:row>1</xdr:row>
      <xdr:rowOff>100011</xdr:rowOff>
    </xdr:from>
    <xdr:to>
      <xdr:col>13</xdr:col>
      <xdr:colOff>809624</xdr:colOff>
      <xdr:row>13</xdr:row>
      <xdr:rowOff>200024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64FA17-50D1-5B85-D5FF-09EC7B41C0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142875</xdr:colOff>
      <xdr:row>14</xdr:row>
      <xdr:rowOff>66675</xdr:rowOff>
    </xdr:from>
    <xdr:to>
      <xdr:col>13</xdr:col>
      <xdr:colOff>819150</xdr:colOff>
      <xdr:row>25</xdr:row>
      <xdr:rowOff>166688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2D4C16-C521-4DB4-8242-AC223C035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4"/>
  <sheetViews>
    <sheetView workbookViewId="0">
      <selection activeCell="B36" sqref="B36"/>
    </sheetView>
  </sheetViews>
  <sheetFormatPr defaultColWidth="15.75" defaultRowHeight="14" x14ac:dyDescent="0.3"/>
  <sheetData>
    <row r="1" spans="1:14" ht="18" x14ac:dyDescent="0.3">
      <c r="A1" s="84" t="s">
        <v>10</v>
      </c>
      <c r="B1" s="84"/>
      <c r="C1" s="84"/>
      <c r="D1" s="84"/>
      <c r="E1" s="84"/>
      <c r="F1" s="84"/>
      <c r="G1" s="7"/>
      <c r="H1" s="7"/>
      <c r="I1" s="7"/>
      <c r="J1" s="7"/>
      <c r="K1" s="7"/>
      <c r="L1" s="7"/>
      <c r="M1" s="7"/>
      <c r="N1" s="7"/>
    </row>
    <row r="2" spans="1:14" s="3" customFormat="1" x14ac:dyDescent="0.3">
      <c r="A2" s="3" t="s">
        <v>4</v>
      </c>
      <c r="B2" s="3">
        <v>2.8</v>
      </c>
      <c r="C2" s="3" t="s">
        <v>5</v>
      </c>
      <c r="D2" s="3">
        <v>89.165999999999997</v>
      </c>
    </row>
    <row r="3" spans="1:14" s="1" customFormat="1" x14ac:dyDescent="0.3">
      <c r="A3" s="1" t="s">
        <v>1</v>
      </c>
      <c r="B3" s="1" t="s">
        <v>15</v>
      </c>
      <c r="C3" s="1" t="s">
        <v>0</v>
      </c>
      <c r="D3" s="1" t="s">
        <v>16</v>
      </c>
      <c r="E3" s="1" t="s">
        <v>17</v>
      </c>
    </row>
    <row r="4" spans="1:14" x14ac:dyDescent="0.3">
      <c r="A4" s="3" t="s">
        <v>2</v>
      </c>
      <c r="B4" s="44">
        <v>2.8</v>
      </c>
      <c r="C4" s="44">
        <f>B4/$D$2</f>
        <v>3.1402103940964043E-2</v>
      </c>
      <c r="D4" s="44">
        <v>14.5</v>
      </c>
      <c r="E4" s="44">
        <v>5.3799999999999901</v>
      </c>
    </row>
    <row r="5" spans="1:14" x14ac:dyDescent="0.3">
      <c r="A5">
        <v>2</v>
      </c>
      <c r="B5" s="44">
        <v>5.4430175594920502</v>
      </c>
      <c r="C5" s="44">
        <f t="shared" ref="C5:C43" si="0">B5/$D$2</f>
        <v>6.1043643984164932E-2</v>
      </c>
      <c r="D5" s="44">
        <v>14.5</v>
      </c>
      <c r="E5" s="44">
        <v>5.3802898245577602</v>
      </c>
    </row>
    <row r="6" spans="1:14" x14ac:dyDescent="0.3">
      <c r="A6">
        <v>3</v>
      </c>
      <c r="B6" s="44">
        <v>8.1797698421063494</v>
      </c>
      <c r="C6" s="44">
        <f t="shared" si="0"/>
        <v>9.1736422426780942E-2</v>
      </c>
      <c r="D6" s="44">
        <v>14.5</v>
      </c>
      <c r="E6" s="44">
        <v>5.3799605422485302</v>
      </c>
    </row>
    <row r="7" spans="1:14" x14ac:dyDescent="0.3">
      <c r="A7">
        <v>4</v>
      </c>
      <c r="B7" s="44">
        <v>11.002738325234199</v>
      </c>
      <c r="C7" s="44">
        <f t="shared" si="0"/>
        <v>0.12339611875865464</v>
      </c>
      <c r="D7" s="44">
        <v>14.4320087812798</v>
      </c>
      <c r="E7" s="44">
        <v>5.4524800085503697</v>
      </c>
    </row>
    <row r="8" spans="1:14" x14ac:dyDescent="0.3">
      <c r="A8">
        <v>5</v>
      </c>
      <c r="B8" s="44">
        <v>13.9031430488184</v>
      </c>
      <c r="C8" s="44">
        <f t="shared" si="0"/>
        <v>0.15592426540181684</v>
      </c>
      <c r="D8" s="44">
        <v>13.888815664679299</v>
      </c>
      <c r="E8" s="44">
        <v>5.6354406366658596</v>
      </c>
    </row>
    <row r="9" spans="1:14" x14ac:dyDescent="0.3">
      <c r="A9">
        <v>6</v>
      </c>
      <c r="B9" s="44">
        <v>16.8710210375448</v>
      </c>
      <c r="C9" s="44">
        <f t="shared" si="0"/>
        <v>0.18920912721827604</v>
      </c>
      <c r="D9" s="44">
        <v>12.545974267440601</v>
      </c>
      <c r="E9" s="44">
        <v>5.8660043214416397</v>
      </c>
    </row>
    <row r="10" spans="1:14" x14ac:dyDescent="0.3">
      <c r="A10">
        <v>7</v>
      </c>
      <c r="B10" s="44">
        <v>19.8953356765109</v>
      </c>
      <c r="C10" s="44">
        <f t="shared" si="0"/>
        <v>0.22312692816220198</v>
      </c>
      <c r="D10" s="44">
        <v>10.6086877180032</v>
      </c>
      <c r="E10" s="44">
        <v>6.0706543128780197</v>
      </c>
    </row>
    <row r="11" spans="1:14" x14ac:dyDescent="0.3">
      <c r="A11">
        <v>8</v>
      </c>
      <c r="B11" s="44">
        <v>22.964122498858298</v>
      </c>
      <c r="C11" s="44">
        <f t="shared" si="0"/>
        <v>0.25754348629363544</v>
      </c>
      <c r="D11" s="44">
        <v>8.8924522884579993</v>
      </c>
      <c r="E11" s="44">
        <v>6.1845112379059701</v>
      </c>
    </row>
    <row r="12" spans="1:14" x14ac:dyDescent="0.3">
      <c r="A12">
        <v>9</v>
      </c>
      <c r="B12" s="44">
        <v>26.064665262756002</v>
      </c>
      <c r="C12" s="44">
        <f t="shared" si="0"/>
        <v>0.29231618848839247</v>
      </c>
      <c r="D12" s="44">
        <v>7.8018023458859398</v>
      </c>
      <c r="E12" s="44">
        <v>6.2030088447048399</v>
      </c>
    </row>
    <row r="13" spans="1:14" x14ac:dyDescent="0.3">
      <c r="A13">
        <v>10</v>
      </c>
      <c r="B13" s="44">
        <v>29.183699365027501</v>
      </c>
      <c r="C13" s="44">
        <f t="shared" si="0"/>
        <v>0.32729627172944287</v>
      </c>
      <c r="D13" s="44">
        <v>7.02416236586153</v>
      </c>
      <c r="E13" s="44">
        <v>6.14288001435916</v>
      </c>
    </row>
    <row r="14" spans="1:14" x14ac:dyDescent="0.3">
      <c r="A14">
        <v>11</v>
      </c>
      <c r="B14" s="44">
        <v>32.307638337834902</v>
      </c>
      <c r="C14" s="44">
        <f t="shared" si="0"/>
        <v>0.36233136327563087</v>
      </c>
      <c r="D14" s="44">
        <v>6.3821977924515503</v>
      </c>
      <c r="E14" s="44">
        <v>6.0199624254464803</v>
      </c>
    </row>
    <row r="15" spans="1:14" x14ac:dyDescent="0.3">
      <c r="A15">
        <v>12</v>
      </c>
      <c r="B15" s="44">
        <v>35.422794298715203</v>
      </c>
      <c r="C15" s="44">
        <f t="shared" si="0"/>
        <v>0.39726795301701551</v>
      </c>
      <c r="D15" s="44">
        <v>5.7768570132310799</v>
      </c>
      <c r="E15" s="44">
        <v>5.8490685437073102</v>
      </c>
    </row>
    <row r="16" spans="1:14" x14ac:dyDescent="0.3">
      <c r="A16">
        <v>13</v>
      </c>
      <c r="B16" s="44">
        <v>38.515638396511598</v>
      </c>
      <c r="C16" s="44">
        <f t="shared" si="0"/>
        <v>0.43195431438565818</v>
      </c>
      <c r="D16" s="44">
        <v>5.2275021584650503</v>
      </c>
      <c r="E16" s="44">
        <v>5.6453233257575803</v>
      </c>
    </row>
    <row r="17" spans="1:5" x14ac:dyDescent="0.3">
      <c r="A17">
        <v>14</v>
      </c>
      <c r="B17" s="44">
        <v>41.573019711982198</v>
      </c>
      <c r="C17" s="44">
        <f t="shared" si="0"/>
        <v>0.46624295933407578</v>
      </c>
      <c r="D17" s="44">
        <v>4.6735758303135704</v>
      </c>
      <c r="E17" s="44">
        <v>5.4218911864361496</v>
      </c>
    </row>
    <row r="18" spans="1:5" x14ac:dyDescent="0.3">
      <c r="A18">
        <v>15</v>
      </c>
      <c r="B18" s="44">
        <v>44.582388713614797</v>
      </c>
      <c r="C18" s="44">
        <f t="shared" si="0"/>
        <v>0.49999314440049791</v>
      </c>
      <c r="D18" s="44">
        <v>4.0885963548249302</v>
      </c>
      <c r="E18" s="44">
        <v>5.1858293837937897</v>
      </c>
    </row>
    <row r="19" spans="1:5" x14ac:dyDescent="0.3">
      <c r="A19">
        <v>16</v>
      </c>
      <c r="B19" s="44">
        <v>47.531995710582699</v>
      </c>
      <c r="C19" s="44">
        <f t="shared" si="0"/>
        <v>0.53307309636613398</v>
      </c>
      <c r="D19" s="44">
        <v>3.4877550750133501</v>
      </c>
      <c r="E19" s="44">
        <v>4.9428273587784304</v>
      </c>
    </row>
    <row r="20" spans="1:5" x14ac:dyDescent="0.3">
      <c r="A20">
        <v>17</v>
      </c>
      <c r="B20" s="44">
        <v>50.411061656768702</v>
      </c>
      <c r="C20" s="44">
        <f t="shared" si="0"/>
        <v>0.56536192782864214</v>
      </c>
      <c r="D20" s="44">
        <v>2.8865523844899501</v>
      </c>
      <c r="E20" s="44">
        <v>4.6982195196877496</v>
      </c>
    </row>
    <row r="21" spans="1:5" x14ac:dyDescent="0.3">
      <c r="A21">
        <v>18</v>
      </c>
      <c r="B21" s="44">
        <v>53.209916370621997</v>
      </c>
      <c r="C21" s="44">
        <f t="shared" si="0"/>
        <v>0.59675118734295585</v>
      </c>
      <c r="D21" s="44">
        <v>2.2990792499275798</v>
      </c>
      <c r="E21" s="44">
        <v>4.4567750106053303</v>
      </c>
    </row>
    <row r="22" spans="1:5" x14ac:dyDescent="0.3">
      <c r="A22">
        <v>19</v>
      </c>
      <c r="B22" s="44">
        <v>55.920101119300298</v>
      </c>
      <c r="C22" s="44">
        <f t="shared" si="0"/>
        <v>0.62714600990624569</v>
      </c>
      <c r="D22" s="44">
        <v>1.73617493209415</v>
      </c>
      <c r="E22" s="44">
        <v>4.2226912222355999</v>
      </c>
    </row>
    <row r="23" spans="1:5" x14ac:dyDescent="0.3">
      <c r="A23">
        <v>20</v>
      </c>
      <c r="B23" s="44">
        <v>58.534435207098497</v>
      </c>
      <c r="C23" s="44">
        <f t="shared" si="0"/>
        <v>0.65646586374961868</v>
      </c>
      <c r="D23" s="44">
        <v>1.2071898063642399</v>
      </c>
      <c r="E23" s="44">
        <v>3.9986796517683598</v>
      </c>
    </row>
    <row r="24" spans="1:5" x14ac:dyDescent="0.3">
      <c r="A24">
        <v>21</v>
      </c>
      <c r="B24" s="44">
        <v>61.0470477163948</v>
      </c>
      <c r="C24" s="44">
        <f t="shared" si="0"/>
        <v>0.68464490631400765</v>
      </c>
      <c r="D24" s="44">
        <v>0.71870354299199801</v>
      </c>
      <c r="E24" s="44">
        <v>3.78608058690196</v>
      </c>
    </row>
    <row r="25" spans="1:5" x14ac:dyDescent="0.3">
      <c r="A25">
        <v>22</v>
      </c>
      <c r="B25" s="44">
        <v>63.453364283444799</v>
      </c>
      <c r="C25" s="44">
        <f t="shared" si="0"/>
        <v>0.7116318359402104</v>
      </c>
      <c r="D25" s="44">
        <v>0.27307626153272602</v>
      </c>
      <c r="E25" s="44">
        <v>3.5857064766338702</v>
      </c>
    </row>
    <row r="26" spans="1:5" x14ac:dyDescent="0.3">
      <c r="A26">
        <v>23</v>
      </c>
      <c r="B26" s="44">
        <v>65.750095227756105</v>
      </c>
      <c r="C26" s="44">
        <f t="shared" si="0"/>
        <v>0.73738975873938617</v>
      </c>
      <c r="D26" s="44">
        <v>-0.13037961496903999</v>
      </c>
      <c r="E26" s="44">
        <v>3.3980944912814399</v>
      </c>
    </row>
    <row r="27" spans="1:5" x14ac:dyDescent="0.3">
      <c r="A27">
        <v>24</v>
      </c>
      <c r="B27" s="44">
        <v>67.935158440903706</v>
      </c>
      <c r="C27" s="44">
        <f t="shared" si="0"/>
        <v>0.76189532378825686</v>
      </c>
      <c r="D27" s="44">
        <v>-0.493278807488782</v>
      </c>
      <c r="E27" s="44">
        <v>3.22348971587662</v>
      </c>
    </row>
    <row r="28" spans="1:5" x14ac:dyDescent="0.3">
      <c r="A28">
        <v>25</v>
      </c>
      <c r="B28" s="44">
        <v>70.007597692163301</v>
      </c>
      <c r="C28" s="44">
        <f t="shared" si="0"/>
        <v>0.78513780692375235</v>
      </c>
      <c r="D28" s="44">
        <v>-0.81956519343776502</v>
      </c>
      <c r="E28" s="44">
        <v>3.06189968445352</v>
      </c>
    </row>
    <row r="29" spans="1:5" x14ac:dyDescent="0.3">
      <c r="A29">
        <v>26</v>
      </c>
      <c r="B29" s="44">
        <v>71.967492110837199</v>
      </c>
      <c r="C29" s="44">
        <f t="shared" si="0"/>
        <v>0.80711809558393555</v>
      </c>
      <c r="D29" s="44">
        <v>-1.1139247801188401</v>
      </c>
      <c r="E29" s="44">
        <v>2.91304005926539</v>
      </c>
    </row>
    <row r="30" spans="1:5" x14ac:dyDescent="0.3">
      <c r="A30">
        <v>27</v>
      </c>
      <c r="B30" s="44">
        <v>73.815853512750195</v>
      </c>
      <c r="C30" s="44">
        <f t="shared" si="0"/>
        <v>0.82784753732084204</v>
      </c>
      <c r="D30" s="44">
        <v>-1.38270441849099</v>
      </c>
      <c r="E30" s="44">
        <v>2.7762791501019501</v>
      </c>
    </row>
    <row r="31" spans="1:5" x14ac:dyDescent="0.3">
      <c r="A31">
        <v>28</v>
      </c>
      <c r="B31" s="44">
        <v>75.554509819271999</v>
      </c>
      <c r="C31" s="44">
        <f t="shared" si="0"/>
        <v>0.84734663234048857</v>
      </c>
      <c r="D31" s="44">
        <v>-1.63109081481673</v>
      </c>
      <c r="E31" s="44">
        <v>2.6506949910789701</v>
      </c>
    </row>
    <row r="32" spans="1:5" x14ac:dyDescent="0.3">
      <c r="A32">
        <v>29</v>
      </c>
      <c r="B32" s="44">
        <v>77.185974287588607</v>
      </c>
      <c r="C32" s="44">
        <f t="shared" si="0"/>
        <v>0.8656435669155127</v>
      </c>
      <c r="D32" s="44">
        <v>-1.8619587636742501</v>
      </c>
      <c r="E32" s="44">
        <v>2.5359472912966701</v>
      </c>
    </row>
    <row r="33" spans="1:5" x14ac:dyDescent="0.3">
      <c r="A33">
        <v>30</v>
      </c>
      <c r="B33" s="44">
        <v>78.713346901112303</v>
      </c>
      <c r="C33" s="44">
        <f t="shared" si="0"/>
        <v>0.88277310747496029</v>
      </c>
      <c r="D33" s="44">
        <v>-2.0776267959516299</v>
      </c>
      <c r="E33" s="44">
        <v>2.4307713987125599</v>
      </c>
    </row>
    <row r="34" spans="1:5" x14ac:dyDescent="0.3">
      <c r="A34">
        <v>31</v>
      </c>
      <c r="B34" s="44">
        <v>80.1402166278436</v>
      </c>
      <c r="C34" s="44">
        <f t="shared" si="0"/>
        <v>0.89877550442818566</v>
      </c>
      <c r="D34" s="44">
        <v>-2.2800793980862402</v>
      </c>
      <c r="E34" s="44">
        <v>2.33143175909942</v>
      </c>
    </row>
    <row r="35" spans="1:5" x14ac:dyDescent="0.3">
      <c r="A35">
        <v>32</v>
      </c>
      <c r="B35" s="44">
        <v>81.470523095345101</v>
      </c>
      <c r="C35" s="44">
        <f t="shared" si="0"/>
        <v>0.9136949408445495</v>
      </c>
      <c r="D35" s="44">
        <v>-2.4689966713159301</v>
      </c>
      <c r="E35" s="44">
        <v>2.2324158186988701</v>
      </c>
    </row>
    <row r="36" spans="1:5" x14ac:dyDescent="0.3">
      <c r="A36">
        <v>33</v>
      </c>
      <c r="B36" s="44">
        <v>82.708484859097894</v>
      </c>
      <c r="C36" s="44">
        <f t="shared" si="0"/>
        <v>0.92757872798037255</v>
      </c>
      <c r="D36" s="44">
        <v>-2.6440840936754499</v>
      </c>
      <c r="E36" s="44">
        <v>2.1290689299893102</v>
      </c>
    </row>
    <row r="37" spans="1:5" x14ac:dyDescent="0.3">
      <c r="A37">
        <v>34</v>
      </c>
      <c r="B37" s="44">
        <v>83.858521525440295</v>
      </c>
      <c r="C37" s="44">
        <f t="shared" si="0"/>
        <v>0.94047643188480246</v>
      </c>
      <c r="D37" s="44">
        <v>-2.8029648232439701</v>
      </c>
      <c r="E37" s="44">
        <v>2.01909558867604</v>
      </c>
    </row>
    <row r="38" spans="1:5" x14ac:dyDescent="0.3">
      <c r="A38">
        <v>35</v>
      </c>
      <c r="B38" s="44">
        <v>84.925156546417</v>
      </c>
      <c r="C38" s="44">
        <f t="shared" si="0"/>
        <v>0.95243878324043918</v>
      </c>
      <c r="D38" s="44">
        <v>-2.9450706813732501</v>
      </c>
      <c r="E38" s="44">
        <v>1.9033224979655099</v>
      </c>
    </row>
    <row r="39" spans="1:5" x14ac:dyDescent="0.3">
      <c r="A39">
        <v>36</v>
      </c>
      <c r="B39" s="44">
        <v>85.912957470050998</v>
      </c>
      <c r="C39" s="44">
        <f t="shared" si="0"/>
        <v>0.963517007267916</v>
      </c>
      <c r="D39" s="44">
        <v>-3.07008508099671</v>
      </c>
      <c r="E39" s="44">
        <v>1.7761076689775199</v>
      </c>
    </row>
    <row r="40" spans="1:5" x14ac:dyDescent="0.3">
      <c r="A40">
        <v>37</v>
      </c>
      <c r="B40" s="44">
        <v>86.826485877416999</v>
      </c>
      <c r="C40" s="44">
        <f t="shared" si="0"/>
        <v>0.97376226226831974</v>
      </c>
      <c r="D40" s="44">
        <v>-3.1773289582630002</v>
      </c>
      <c r="E40" s="44">
        <v>1.6260118642146</v>
      </c>
    </row>
    <row r="41" spans="1:5" x14ac:dyDescent="0.3">
      <c r="A41">
        <v>38</v>
      </c>
      <c r="B41" s="44">
        <v>87.670252858279895</v>
      </c>
      <c r="C41" s="44">
        <f t="shared" si="0"/>
        <v>0.98322514028082342</v>
      </c>
      <c r="D41" s="44">
        <v>-3.27095595844116</v>
      </c>
      <c r="E41" s="44">
        <v>1.44011918215127</v>
      </c>
    </row>
    <row r="42" spans="1:5" x14ac:dyDescent="0.3">
      <c r="A42">
        <v>39</v>
      </c>
      <c r="B42" s="44">
        <v>88.448662882237699</v>
      </c>
      <c r="C42" s="44">
        <f t="shared" si="0"/>
        <v>0.99195503759547021</v>
      </c>
      <c r="D42" s="44">
        <v>-3.35752647985493</v>
      </c>
      <c r="E42" s="44">
        <v>1.1835989762103101</v>
      </c>
    </row>
    <row r="43" spans="1:5" x14ac:dyDescent="0.3">
      <c r="A43" s="3" t="s">
        <v>3</v>
      </c>
      <c r="B43" s="44">
        <v>89.165999999999897</v>
      </c>
      <c r="C43" s="44">
        <f t="shared" si="0"/>
        <v>0.99999999999999889</v>
      </c>
      <c r="D43" s="44">
        <v>-3.4279999999999902</v>
      </c>
      <c r="E43" s="44">
        <v>0.59999999999999898</v>
      </c>
    </row>
    <row r="44" spans="1:5" x14ac:dyDescent="0.3">
      <c r="A44" s="3" t="s">
        <v>24</v>
      </c>
      <c r="B44" s="44">
        <v>89.17</v>
      </c>
      <c r="C44" s="44">
        <v>1.1000000000000001</v>
      </c>
      <c r="D44" s="44">
        <v>-3.4279999999999902</v>
      </c>
      <c r="E44" s="44">
        <v>0.59999999999999898</v>
      </c>
    </row>
  </sheetData>
  <sheetProtection algorithmName="SHA-512" hashValue="+MtJvzPKivwRxs+Z+oWJ0fiPr1TxOpsRgp6nrvMhgFbq5GYmMwbiYqZogN0qMPYwdJkW8e95/ddfB57FDxESPA==" saltValue="HMCKrXPn7B4xkShlgBH4+w==" spinCount="100000" sheet="1" objects="1" scenarios="1"/>
  <mergeCells count="1">
    <mergeCell ref="A1:F1"/>
  </mergeCells>
  <phoneticPr fontId="1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A3FB1-E9A9-4D19-8086-A987925F87E3}">
  <sheetPr codeName="Sheet2"/>
  <dimension ref="A1:O107"/>
  <sheetViews>
    <sheetView workbookViewId="0">
      <selection activeCell="F32" sqref="F32"/>
    </sheetView>
  </sheetViews>
  <sheetFormatPr defaultRowHeight="14" x14ac:dyDescent="0.3"/>
  <sheetData>
    <row r="1" spans="1:15" ht="15.5" x14ac:dyDescent="0.35">
      <c r="A1" s="8" t="s">
        <v>11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ht="15.5" x14ac:dyDescent="0.35">
      <c r="A2" s="4" t="s">
        <v>6</v>
      </c>
      <c r="B2" s="5" t="s">
        <v>7</v>
      </c>
      <c r="C2" s="5" t="s">
        <v>8</v>
      </c>
      <c r="D2" s="5" t="s">
        <v>9</v>
      </c>
    </row>
    <row r="3" spans="1:15" x14ac:dyDescent="0.3">
      <c r="A3" s="12">
        <v>-180</v>
      </c>
      <c r="B3" s="44">
        <v>0</v>
      </c>
      <c r="C3" s="44">
        <v>0</v>
      </c>
      <c r="D3" s="11">
        <v>0</v>
      </c>
    </row>
    <row r="4" spans="1:15" x14ac:dyDescent="0.3">
      <c r="A4" s="12">
        <v>-175</v>
      </c>
      <c r="B4" s="44">
        <v>0.1736</v>
      </c>
      <c r="C4" s="44">
        <v>1.14E-2</v>
      </c>
      <c r="D4" s="11">
        <f t="shared" ref="D4:D67" si="0">B4/C4</f>
        <v>15.228070175438596</v>
      </c>
    </row>
    <row r="5" spans="1:15" x14ac:dyDescent="0.3">
      <c r="A5" s="12">
        <v>-170</v>
      </c>
      <c r="B5" s="44">
        <v>0.34200000000000003</v>
      </c>
      <c r="C5" s="44">
        <v>4.5199999999999997E-2</v>
      </c>
      <c r="D5" s="11">
        <f t="shared" si="0"/>
        <v>7.5663716814159301</v>
      </c>
    </row>
    <row r="6" spans="1:15" x14ac:dyDescent="0.3">
      <c r="A6" s="12">
        <v>-165</v>
      </c>
      <c r="B6" s="44">
        <v>0.5</v>
      </c>
      <c r="C6" s="44">
        <v>0.10050000000000001</v>
      </c>
      <c r="D6" s="11">
        <f t="shared" si="0"/>
        <v>4.9751243781094523</v>
      </c>
    </row>
    <row r="7" spans="1:15" x14ac:dyDescent="0.3">
      <c r="A7" s="12">
        <v>-160</v>
      </c>
      <c r="B7" s="44">
        <v>0.64280000000000004</v>
      </c>
      <c r="C7" s="44">
        <v>0.17549999999999999</v>
      </c>
      <c r="D7" s="11">
        <f t="shared" si="0"/>
        <v>3.6626780626780633</v>
      </c>
    </row>
    <row r="8" spans="1:15" x14ac:dyDescent="0.3">
      <c r="A8" s="12">
        <v>-155</v>
      </c>
      <c r="B8" s="44">
        <v>0.76600000000000001</v>
      </c>
      <c r="C8" s="44">
        <v>0.26790000000000003</v>
      </c>
      <c r="D8" s="11">
        <f t="shared" si="0"/>
        <v>2.8592758491974615</v>
      </c>
      <c r="F8" s="1"/>
      <c r="G8" s="6"/>
      <c r="H8" s="6"/>
      <c r="I8" s="6"/>
    </row>
    <row r="9" spans="1:15" x14ac:dyDescent="0.3">
      <c r="A9" s="12">
        <v>-150</v>
      </c>
      <c r="B9" s="44">
        <v>0.86599999999999999</v>
      </c>
      <c r="C9" s="44">
        <v>0.375</v>
      </c>
      <c r="D9" s="11">
        <f t="shared" si="0"/>
        <v>2.3093333333333335</v>
      </c>
      <c r="F9" s="1"/>
      <c r="G9" s="6"/>
      <c r="H9" s="6"/>
      <c r="I9" s="6"/>
    </row>
    <row r="10" spans="1:15" x14ac:dyDescent="0.3">
      <c r="A10" s="12">
        <v>-145</v>
      </c>
      <c r="B10" s="44">
        <v>0.93969999999999998</v>
      </c>
      <c r="C10" s="44">
        <v>0.49349999999999999</v>
      </c>
      <c r="D10" s="11">
        <f t="shared" si="0"/>
        <v>1.9041540020263423</v>
      </c>
      <c r="F10" s="1"/>
      <c r="G10" s="6"/>
      <c r="H10" s="6"/>
      <c r="I10" s="6"/>
    </row>
    <row r="11" spans="1:15" x14ac:dyDescent="0.3">
      <c r="A11" s="12">
        <v>-140</v>
      </c>
      <c r="B11" s="44">
        <v>0.98480000000000001</v>
      </c>
      <c r="C11" s="44">
        <v>0.61970000000000003</v>
      </c>
      <c r="D11" s="11">
        <f t="shared" si="0"/>
        <v>1.5891560432467322</v>
      </c>
      <c r="F11" s="1"/>
      <c r="G11" s="6"/>
      <c r="H11" s="6"/>
      <c r="I11" s="6"/>
    </row>
    <row r="12" spans="1:15" x14ac:dyDescent="0.3">
      <c r="A12" s="12">
        <v>-135</v>
      </c>
      <c r="B12" s="44">
        <v>1</v>
      </c>
      <c r="C12" s="44">
        <v>0.75</v>
      </c>
      <c r="D12" s="11">
        <f t="shared" si="0"/>
        <v>1.3333333333333333</v>
      </c>
      <c r="F12" s="1"/>
      <c r="G12" s="6"/>
      <c r="H12" s="6"/>
      <c r="I12" s="6"/>
    </row>
    <row r="13" spans="1:15" x14ac:dyDescent="0.3">
      <c r="A13" s="12">
        <v>-130</v>
      </c>
      <c r="B13" s="44">
        <v>0.98480000000000001</v>
      </c>
      <c r="C13" s="44">
        <v>0.88029999999999997</v>
      </c>
      <c r="D13" s="11">
        <f t="shared" si="0"/>
        <v>1.1187095308417585</v>
      </c>
      <c r="F13" s="1"/>
      <c r="G13" s="6"/>
      <c r="H13" s="6"/>
      <c r="I13" s="6"/>
    </row>
    <row r="14" spans="1:15" x14ac:dyDescent="0.3">
      <c r="A14" s="12">
        <v>-125</v>
      </c>
      <c r="B14" s="44">
        <v>0.93969999999999998</v>
      </c>
      <c r="C14" s="44">
        <v>1.0065</v>
      </c>
      <c r="D14" s="11">
        <f t="shared" si="0"/>
        <v>0.93363139592647792</v>
      </c>
      <c r="F14" s="1"/>
      <c r="G14" s="6"/>
      <c r="H14" s="6"/>
      <c r="I14" s="6"/>
    </row>
    <row r="15" spans="1:15" x14ac:dyDescent="0.3">
      <c r="A15" s="12">
        <v>-120</v>
      </c>
      <c r="B15" s="44">
        <v>0.86599999999999999</v>
      </c>
      <c r="C15" s="44">
        <v>1.125</v>
      </c>
      <c r="D15" s="11">
        <f t="shared" si="0"/>
        <v>0.76977777777777778</v>
      </c>
      <c r="F15" s="1"/>
      <c r="G15" s="6"/>
      <c r="H15" s="6"/>
      <c r="I15" s="6"/>
    </row>
    <row r="16" spans="1:15" x14ac:dyDescent="0.3">
      <c r="A16" s="12">
        <v>-115</v>
      </c>
      <c r="B16" s="44">
        <v>0.76600000000000001</v>
      </c>
      <c r="C16" s="44">
        <v>1.2321</v>
      </c>
      <c r="D16" s="11">
        <f t="shared" si="0"/>
        <v>0.62170278386494604</v>
      </c>
      <c r="F16" s="1"/>
      <c r="G16" s="6"/>
      <c r="H16" s="6"/>
      <c r="I16" s="6"/>
    </row>
    <row r="17" spans="1:9" x14ac:dyDescent="0.3">
      <c r="A17" s="12">
        <v>-110</v>
      </c>
      <c r="B17" s="44">
        <v>0.64280000000000004</v>
      </c>
      <c r="C17" s="44">
        <v>1.3245</v>
      </c>
      <c r="D17" s="11">
        <f t="shared" si="0"/>
        <v>0.48531521328803323</v>
      </c>
      <c r="F17" s="1"/>
      <c r="G17" s="6"/>
      <c r="H17" s="6"/>
      <c r="I17" s="6"/>
    </row>
    <row r="18" spans="1:9" x14ac:dyDescent="0.3">
      <c r="A18" s="12">
        <v>-105</v>
      </c>
      <c r="B18" s="44">
        <v>0.5</v>
      </c>
      <c r="C18" s="44">
        <v>1.3995</v>
      </c>
      <c r="D18" s="11">
        <f t="shared" si="0"/>
        <v>0.35727045373347627</v>
      </c>
      <c r="F18" s="1"/>
      <c r="G18" s="6"/>
      <c r="H18" s="6"/>
      <c r="I18" s="6"/>
    </row>
    <row r="19" spans="1:9" x14ac:dyDescent="0.3">
      <c r="A19" s="12">
        <v>-100</v>
      </c>
      <c r="B19" s="44">
        <v>0.34200000000000003</v>
      </c>
      <c r="C19" s="44">
        <v>1.4548000000000001</v>
      </c>
      <c r="D19" s="11">
        <f t="shared" si="0"/>
        <v>0.23508386032444323</v>
      </c>
      <c r="F19" s="1"/>
      <c r="G19" s="6"/>
      <c r="H19" s="6"/>
      <c r="I19" s="6"/>
    </row>
    <row r="20" spans="1:9" x14ac:dyDescent="0.3">
      <c r="A20" s="12">
        <v>-95</v>
      </c>
      <c r="B20" s="44">
        <v>0.1736</v>
      </c>
      <c r="C20" s="44">
        <v>1.4885999999999999</v>
      </c>
      <c r="D20" s="11">
        <f t="shared" si="0"/>
        <v>0.11661964261722424</v>
      </c>
      <c r="F20" s="1"/>
      <c r="G20" s="6"/>
      <c r="H20" s="6"/>
      <c r="I20" s="6"/>
    </row>
    <row r="21" spans="1:9" x14ac:dyDescent="0.3">
      <c r="A21" s="12">
        <v>-90</v>
      </c>
      <c r="B21" s="44">
        <v>0</v>
      </c>
      <c r="C21" s="44">
        <v>1.5</v>
      </c>
      <c r="D21" s="11">
        <f t="shared" si="0"/>
        <v>0</v>
      </c>
      <c r="F21" s="1"/>
      <c r="G21" s="6"/>
      <c r="H21" s="6"/>
      <c r="I21" s="6"/>
    </row>
    <row r="22" spans="1:9" x14ac:dyDescent="0.3">
      <c r="A22" s="12">
        <v>-85</v>
      </c>
      <c r="B22" s="44">
        <v>-0.1736</v>
      </c>
      <c r="C22" s="44">
        <v>1.4885999999999999</v>
      </c>
      <c r="D22" s="11">
        <f t="shared" si="0"/>
        <v>-0.11661964261722424</v>
      </c>
      <c r="F22" s="1"/>
      <c r="G22" s="6"/>
      <c r="H22" s="6"/>
      <c r="I22" s="6"/>
    </row>
    <row r="23" spans="1:9" x14ac:dyDescent="0.3">
      <c r="A23" s="12">
        <v>-80</v>
      </c>
      <c r="B23" s="44">
        <v>-0.34200000000000003</v>
      </c>
      <c r="C23" s="44">
        <v>1.4548000000000001</v>
      </c>
      <c r="D23" s="11">
        <f t="shared" si="0"/>
        <v>-0.23508386032444323</v>
      </c>
      <c r="F23" s="1"/>
      <c r="G23" s="6"/>
      <c r="H23" s="6"/>
      <c r="I23" s="6"/>
    </row>
    <row r="24" spans="1:9" x14ac:dyDescent="0.3">
      <c r="A24" s="12">
        <v>-75</v>
      </c>
      <c r="B24" s="44">
        <v>-0.5</v>
      </c>
      <c r="C24" s="44">
        <v>1.3995</v>
      </c>
      <c r="D24" s="11">
        <f t="shared" si="0"/>
        <v>-0.35727045373347627</v>
      </c>
      <c r="F24" s="1"/>
      <c r="G24" s="6"/>
      <c r="H24" s="6"/>
      <c r="I24" s="6"/>
    </row>
    <row r="25" spans="1:9" x14ac:dyDescent="0.3">
      <c r="A25" s="12">
        <v>-70</v>
      </c>
      <c r="B25" s="44">
        <v>-0.64280000000000004</v>
      </c>
      <c r="C25" s="44">
        <v>1.3245</v>
      </c>
      <c r="D25" s="11">
        <f t="shared" si="0"/>
        <v>-0.48531521328803323</v>
      </c>
      <c r="F25" s="1"/>
      <c r="G25" s="6"/>
      <c r="H25" s="6"/>
      <c r="I25" s="6"/>
    </row>
    <row r="26" spans="1:9" x14ac:dyDescent="0.3">
      <c r="A26" s="12">
        <v>-65</v>
      </c>
      <c r="B26" s="44">
        <v>-0.76600000000000001</v>
      </c>
      <c r="C26" s="44">
        <v>1.2321</v>
      </c>
      <c r="D26" s="11">
        <f t="shared" si="0"/>
        <v>-0.62170278386494604</v>
      </c>
      <c r="F26" s="1"/>
      <c r="G26" s="6"/>
      <c r="H26" s="6"/>
      <c r="I26" s="6"/>
    </row>
    <row r="27" spans="1:9" x14ac:dyDescent="0.3">
      <c r="A27" s="12">
        <v>-60</v>
      </c>
      <c r="B27" s="44">
        <v>-0.86599999999999999</v>
      </c>
      <c r="C27" s="44">
        <v>1.125</v>
      </c>
      <c r="D27" s="11">
        <f t="shared" si="0"/>
        <v>-0.76977777777777778</v>
      </c>
      <c r="F27" s="1"/>
      <c r="G27" s="6"/>
      <c r="H27" s="6"/>
      <c r="I27" s="6"/>
    </row>
    <row r="28" spans="1:9" x14ac:dyDescent="0.3">
      <c r="A28" s="12">
        <v>-55</v>
      </c>
      <c r="B28" s="44">
        <v>-0.93969999999999998</v>
      </c>
      <c r="C28" s="44">
        <v>1.0065</v>
      </c>
      <c r="D28" s="11">
        <f t="shared" si="0"/>
        <v>-0.93363139592647792</v>
      </c>
      <c r="F28" s="1"/>
      <c r="G28" s="6"/>
      <c r="H28" s="6"/>
      <c r="I28" s="6"/>
    </row>
    <row r="29" spans="1:9" x14ac:dyDescent="0.3">
      <c r="A29" s="12">
        <v>-50</v>
      </c>
      <c r="B29" s="44">
        <v>-0.98480000000000001</v>
      </c>
      <c r="C29" s="44">
        <v>0.86029999999999995</v>
      </c>
      <c r="D29" s="11">
        <f t="shared" si="0"/>
        <v>-1.144716959200279</v>
      </c>
      <c r="F29" s="1"/>
      <c r="G29" s="6"/>
      <c r="H29" s="6"/>
      <c r="I29" s="6"/>
    </row>
    <row r="30" spans="1:9" x14ac:dyDescent="0.3">
      <c r="A30" s="12">
        <v>-45</v>
      </c>
      <c r="B30" s="44">
        <v>-1.012</v>
      </c>
      <c r="C30" s="44">
        <v>0.71199999999999997</v>
      </c>
      <c r="D30" s="11">
        <f t="shared" si="0"/>
        <v>-1.4213483146067416</v>
      </c>
      <c r="F30" s="1"/>
      <c r="G30" s="6"/>
      <c r="H30" s="6"/>
      <c r="I30" s="6"/>
    </row>
    <row r="31" spans="1:9" x14ac:dyDescent="0.3">
      <c r="A31" s="12">
        <v>-40</v>
      </c>
      <c r="B31" s="44">
        <v>-1.0376000000000001</v>
      </c>
      <c r="C31" s="44">
        <v>0.54749999999999999</v>
      </c>
      <c r="D31" s="11">
        <f t="shared" si="0"/>
        <v>-1.8951598173515984</v>
      </c>
      <c r="F31" s="1"/>
      <c r="G31" s="6"/>
      <c r="H31" s="6"/>
      <c r="I31" s="6"/>
    </row>
    <row r="32" spans="1:9" x14ac:dyDescent="0.3">
      <c r="A32" s="12">
        <v>-39</v>
      </c>
      <c r="B32" s="44">
        <v>-1.0419</v>
      </c>
      <c r="C32" s="44">
        <v>0.51649999999999996</v>
      </c>
      <c r="D32" s="11">
        <f t="shared" si="0"/>
        <v>-2.0172313649564377</v>
      </c>
      <c r="F32" s="1"/>
      <c r="G32" s="6"/>
      <c r="H32" s="6"/>
      <c r="I32" s="6"/>
    </row>
    <row r="33" spans="1:9" x14ac:dyDescent="0.3">
      <c r="A33" s="12">
        <v>-38</v>
      </c>
      <c r="B33" s="44">
        <v>-1.0462</v>
      </c>
      <c r="C33" s="44">
        <v>0.48159999999999997</v>
      </c>
      <c r="D33" s="11">
        <f t="shared" si="0"/>
        <v>-2.1723421926910302</v>
      </c>
      <c r="F33" s="1"/>
      <c r="G33" s="6"/>
      <c r="H33" s="6"/>
      <c r="I33" s="6"/>
    </row>
    <row r="34" spans="1:9" x14ac:dyDescent="0.3">
      <c r="A34" s="12">
        <v>-37</v>
      </c>
      <c r="B34" s="44">
        <v>-1.0525</v>
      </c>
      <c r="C34" s="44">
        <v>0.44869999999999999</v>
      </c>
      <c r="D34" s="11">
        <f t="shared" si="0"/>
        <v>-2.3456652551816357</v>
      </c>
      <c r="F34" s="1"/>
      <c r="G34" s="6"/>
      <c r="H34" s="6"/>
      <c r="I34" s="6"/>
    </row>
    <row r="35" spans="1:9" x14ac:dyDescent="0.3">
      <c r="A35" s="12">
        <v>-36</v>
      </c>
      <c r="B35" s="44">
        <v>-1.0568</v>
      </c>
      <c r="C35" s="44">
        <v>0.41770000000000002</v>
      </c>
      <c r="D35" s="11">
        <f t="shared" si="0"/>
        <v>-2.5300454871917641</v>
      </c>
      <c r="F35" s="1"/>
      <c r="G35" s="6"/>
      <c r="H35" s="6"/>
      <c r="I35" s="6"/>
    </row>
    <row r="36" spans="1:9" x14ac:dyDescent="0.3">
      <c r="A36" s="12">
        <v>-35</v>
      </c>
      <c r="B36" s="44">
        <v>-1.0610999999999999</v>
      </c>
      <c r="C36" s="44">
        <v>0.38479999999999998</v>
      </c>
      <c r="D36" s="11">
        <f t="shared" si="0"/>
        <v>-2.7575363825363826</v>
      </c>
      <c r="F36" s="1"/>
      <c r="G36" s="6"/>
      <c r="H36" s="6"/>
      <c r="I36" s="6"/>
    </row>
    <row r="37" spans="1:9" x14ac:dyDescent="0.3">
      <c r="A37" s="12">
        <v>-34</v>
      </c>
      <c r="B37" s="44">
        <v>-1.0653999999999999</v>
      </c>
      <c r="C37" s="44">
        <v>0.35580000000000001</v>
      </c>
      <c r="D37" s="11">
        <f t="shared" si="0"/>
        <v>-2.9943788645306348</v>
      </c>
      <c r="F37" s="1"/>
      <c r="G37" s="6"/>
      <c r="H37" s="6"/>
      <c r="I37" s="6"/>
    </row>
    <row r="38" spans="1:9" x14ac:dyDescent="0.3">
      <c r="A38" s="12">
        <v>-33</v>
      </c>
      <c r="B38" s="44">
        <v>-1.0717000000000001</v>
      </c>
      <c r="C38" s="44">
        <v>0.32890000000000003</v>
      </c>
      <c r="D38" s="11">
        <f t="shared" si="0"/>
        <v>-3.258437214958954</v>
      </c>
      <c r="F38" s="1"/>
      <c r="G38" s="6"/>
      <c r="H38" s="6"/>
      <c r="I38" s="6"/>
    </row>
    <row r="39" spans="1:9" x14ac:dyDescent="0.3">
      <c r="A39" s="12">
        <v>-32</v>
      </c>
      <c r="B39" s="44">
        <v>-1.0765</v>
      </c>
      <c r="C39" s="44">
        <v>0.30309999999999998</v>
      </c>
      <c r="D39" s="11">
        <f t="shared" si="0"/>
        <v>-3.5516331243813926</v>
      </c>
      <c r="F39" s="1"/>
      <c r="G39" s="6"/>
      <c r="H39" s="6"/>
      <c r="I39" s="6"/>
    </row>
    <row r="40" spans="1:9" x14ac:dyDescent="0.3">
      <c r="A40" s="12">
        <v>-30</v>
      </c>
      <c r="B40" s="44">
        <v>-1.0889</v>
      </c>
      <c r="C40" s="44">
        <v>0.25600000000000001</v>
      </c>
      <c r="D40" s="11">
        <f t="shared" si="0"/>
        <v>-4.2535156249999995</v>
      </c>
      <c r="F40" s="1"/>
      <c r="G40" s="6"/>
      <c r="H40" s="6"/>
      <c r="I40" s="6"/>
    </row>
    <row r="41" spans="1:9" x14ac:dyDescent="0.3">
      <c r="A41" s="12">
        <v>-28</v>
      </c>
      <c r="B41" s="44">
        <v>-1.0992999999999999</v>
      </c>
      <c r="C41" s="44">
        <v>0.20899999999999999</v>
      </c>
      <c r="D41" s="11">
        <f t="shared" si="0"/>
        <v>-5.2598086124401915</v>
      </c>
    </row>
    <row r="42" spans="1:9" x14ac:dyDescent="0.3">
      <c r="A42" s="12">
        <v>-26</v>
      </c>
      <c r="B42" s="44">
        <v>-1.1168</v>
      </c>
      <c r="C42" s="44">
        <v>0.17560000000000001</v>
      </c>
      <c r="D42" s="11">
        <f t="shared" si="0"/>
        <v>-6.3599088838268791</v>
      </c>
    </row>
    <row r="43" spans="1:9" x14ac:dyDescent="0.3">
      <c r="A43" s="12">
        <v>-24</v>
      </c>
      <c r="B43" s="44">
        <v>-1.1282000000000001</v>
      </c>
      <c r="C43" s="44">
        <v>0.14230000000000001</v>
      </c>
      <c r="D43" s="11">
        <f t="shared" si="0"/>
        <v>-7.9283204497540405</v>
      </c>
    </row>
    <row r="44" spans="1:9" x14ac:dyDescent="0.3">
      <c r="A44" s="12">
        <v>-22</v>
      </c>
      <c r="B44" s="44">
        <v>-1.1214999999999999</v>
      </c>
      <c r="C44" s="44">
        <v>0.1183</v>
      </c>
      <c r="D44" s="11">
        <f t="shared" si="0"/>
        <v>-9.4801352493660183</v>
      </c>
    </row>
    <row r="45" spans="1:9" x14ac:dyDescent="0.3">
      <c r="A45" s="12">
        <v>-20</v>
      </c>
      <c r="B45" s="44">
        <v>-1.1148</v>
      </c>
      <c r="C45" s="44">
        <v>9.4299999999999995E-2</v>
      </c>
      <c r="D45" s="11">
        <f t="shared" si="0"/>
        <v>-11.82184517497349</v>
      </c>
    </row>
    <row r="46" spans="1:9" x14ac:dyDescent="0.3">
      <c r="A46" s="12">
        <v>-18</v>
      </c>
      <c r="B46" s="44">
        <v>-1.0919000000000001</v>
      </c>
      <c r="C46" s="44">
        <v>7.6499999999999999E-2</v>
      </c>
      <c r="D46" s="11">
        <f t="shared" si="0"/>
        <v>-14.273202614379086</v>
      </c>
    </row>
    <row r="47" spans="1:9" x14ac:dyDescent="0.3">
      <c r="A47" s="12">
        <v>-16</v>
      </c>
      <c r="B47" s="44">
        <v>-1.0690999999999999</v>
      </c>
      <c r="C47" s="44">
        <v>5.8700000000000002E-2</v>
      </c>
      <c r="D47" s="11">
        <f t="shared" si="0"/>
        <v>-18.212947189097104</v>
      </c>
    </row>
    <row r="48" spans="1:9" x14ac:dyDescent="0.3">
      <c r="A48" s="12">
        <v>-14</v>
      </c>
      <c r="B48" s="44">
        <v>-1.0379</v>
      </c>
      <c r="C48" s="44">
        <v>4.5400000000000003E-2</v>
      </c>
      <c r="D48" s="11">
        <f t="shared" si="0"/>
        <v>-22.86123348017621</v>
      </c>
    </row>
    <row r="49" spans="1:4" x14ac:dyDescent="0.3">
      <c r="A49" s="12">
        <v>-12</v>
      </c>
      <c r="B49" s="44">
        <v>-1.0066999999999999</v>
      </c>
      <c r="C49" s="44">
        <v>3.2099999999999997E-2</v>
      </c>
      <c r="D49" s="11">
        <f t="shared" si="0"/>
        <v>-31.361370716510905</v>
      </c>
    </row>
    <row r="50" spans="1:4" x14ac:dyDescent="0.3">
      <c r="A50" s="12">
        <v>-10</v>
      </c>
      <c r="B50" s="44">
        <v>-0.84789999999999999</v>
      </c>
      <c r="C50" s="44">
        <v>2.3E-2</v>
      </c>
      <c r="D50" s="11">
        <f t="shared" si="0"/>
        <v>-36.865217391304348</v>
      </c>
    </row>
    <row r="51" spans="1:4" x14ac:dyDescent="0.3">
      <c r="A51" s="12">
        <v>-8</v>
      </c>
      <c r="B51" s="44">
        <v>-0.68920000000000003</v>
      </c>
      <c r="C51" s="44">
        <v>1.38E-2</v>
      </c>
      <c r="D51" s="11">
        <f t="shared" si="0"/>
        <v>-49.94202898550725</v>
      </c>
    </row>
    <row r="52" spans="1:4" x14ac:dyDescent="0.3">
      <c r="A52" s="12">
        <v>-6</v>
      </c>
      <c r="B52" s="44">
        <v>-0.42780000000000001</v>
      </c>
      <c r="C52" s="44">
        <v>1.18E-2</v>
      </c>
      <c r="D52" s="11">
        <f t="shared" si="0"/>
        <v>-36.254237288135599</v>
      </c>
    </row>
    <row r="53" spans="1:4" x14ac:dyDescent="0.3">
      <c r="A53" s="12">
        <v>-4</v>
      </c>
      <c r="B53" s="44">
        <v>-0.16650000000000001</v>
      </c>
      <c r="C53" s="44">
        <v>9.7999999999999997E-3</v>
      </c>
      <c r="D53" s="11">
        <f t="shared" si="0"/>
        <v>-16.989795918367349</v>
      </c>
    </row>
    <row r="54" spans="1:4" x14ac:dyDescent="0.3">
      <c r="A54" s="12">
        <v>-2</v>
      </c>
      <c r="B54" s="44">
        <v>8.6300000000000002E-2</v>
      </c>
      <c r="C54" s="44">
        <v>9.4999999999999998E-3</v>
      </c>
      <c r="D54" s="11">
        <f t="shared" si="0"/>
        <v>9.0842105263157897</v>
      </c>
    </row>
    <row r="55" spans="1:4" x14ac:dyDescent="0.3">
      <c r="A55" s="12">
        <v>0</v>
      </c>
      <c r="B55" s="44">
        <v>0.33910000000000001</v>
      </c>
      <c r="C55" s="44">
        <v>9.1999999999999998E-3</v>
      </c>
      <c r="D55" s="11">
        <f t="shared" si="0"/>
        <v>36.858695652173914</v>
      </c>
    </row>
    <row r="56" spans="1:4" x14ac:dyDescent="0.3">
      <c r="A56" s="12">
        <v>2</v>
      </c>
      <c r="B56" s="44">
        <v>0.5867</v>
      </c>
      <c r="C56" s="44">
        <v>9.4000000000000004E-3</v>
      </c>
      <c r="D56" s="11">
        <f t="shared" si="0"/>
        <v>62.414893617021271</v>
      </c>
    </row>
    <row r="57" spans="1:4" x14ac:dyDescent="0.3">
      <c r="A57" s="12">
        <v>4</v>
      </c>
      <c r="B57" s="44">
        <v>0.83009999999999995</v>
      </c>
      <c r="C57" s="44">
        <v>9.9000000000000008E-3</v>
      </c>
      <c r="D57" s="11">
        <f t="shared" si="0"/>
        <v>83.84848484848483</v>
      </c>
    </row>
    <row r="58" spans="1:4" x14ac:dyDescent="0.3">
      <c r="A58" s="12">
        <v>6</v>
      </c>
      <c r="B58" s="44">
        <v>1.0656000000000001</v>
      </c>
      <c r="C58" s="44">
        <v>1.09E-2</v>
      </c>
      <c r="D58" s="11">
        <f t="shared" si="0"/>
        <v>97.761467889908261</v>
      </c>
    </row>
    <row r="59" spans="1:4" x14ac:dyDescent="0.3">
      <c r="A59" s="12">
        <v>8</v>
      </c>
      <c r="B59" s="44">
        <v>1.2914000000000001</v>
      </c>
      <c r="C59" s="44">
        <v>1.24E-2</v>
      </c>
      <c r="D59" s="11">
        <f t="shared" si="0"/>
        <v>104.14516129032259</v>
      </c>
    </row>
    <row r="60" spans="1:4" x14ac:dyDescent="0.3">
      <c r="A60" s="12">
        <v>10</v>
      </c>
      <c r="B60" s="44">
        <v>1.5012000000000001</v>
      </c>
      <c r="C60" s="44">
        <v>1.44E-2</v>
      </c>
      <c r="D60" s="11">
        <f t="shared" si="0"/>
        <v>104.25000000000001</v>
      </c>
    </row>
    <row r="61" spans="1:4" x14ac:dyDescent="0.3">
      <c r="A61" s="12">
        <v>12</v>
      </c>
      <c r="B61" s="44">
        <v>1.6886000000000001</v>
      </c>
      <c r="C61" s="44">
        <v>1.7299999999999999E-2</v>
      </c>
      <c r="D61" s="11">
        <f t="shared" si="0"/>
        <v>97.606936416184979</v>
      </c>
    </row>
    <row r="62" spans="1:4" x14ac:dyDescent="0.3">
      <c r="A62" s="12">
        <v>14</v>
      </c>
      <c r="B62" s="44">
        <v>1.8103</v>
      </c>
      <c r="C62" s="44">
        <v>2.2599999999999999E-2</v>
      </c>
      <c r="D62" s="11">
        <f t="shared" si="0"/>
        <v>80.101769911504434</v>
      </c>
    </row>
    <row r="63" spans="1:4" x14ac:dyDescent="0.3">
      <c r="A63" s="12">
        <v>16</v>
      </c>
      <c r="B63" s="44">
        <v>1.8139000000000001</v>
      </c>
      <c r="C63" s="44">
        <v>3.5400000000000001E-2</v>
      </c>
      <c r="D63" s="11">
        <f t="shared" si="0"/>
        <v>51.240112994350284</v>
      </c>
    </row>
    <row r="64" spans="1:4" x14ac:dyDescent="0.3">
      <c r="A64" s="12">
        <v>18</v>
      </c>
      <c r="B64" s="44">
        <v>1.7544999999999999</v>
      </c>
      <c r="C64" s="44">
        <v>6.4699999999999994E-2</v>
      </c>
      <c r="D64" s="11">
        <f t="shared" si="0"/>
        <v>27.117465224111285</v>
      </c>
    </row>
    <row r="65" spans="1:4" x14ac:dyDescent="0.3">
      <c r="A65" s="12">
        <v>20</v>
      </c>
      <c r="B65" s="44">
        <v>1.6071</v>
      </c>
      <c r="C65" s="44">
        <v>0.10349999999999999</v>
      </c>
      <c r="D65" s="11">
        <f t="shared" si="0"/>
        <v>15.527536231884058</v>
      </c>
    </row>
    <row r="66" spans="1:4" x14ac:dyDescent="0.3">
      <c r="A66" s="12">
        <v>22</v>
      </c>
      <c r="B66" s="44">
        <v>1.5257000000000001</v>
      </c>
      <c r="C66" s="44">
        <v>0.14369999999999999</v>
      </c>
      <c r="D66" s="11">
        <f t="shared" si="0"/>
        <v>10.617258176757133</v>
      </c>
    </row>
    <row r="67" spans="1:4" x14ac:dyDescent="0.3">
      <c r="A67" s="12">
        <v>24</v>
      </c>
      <c r="B67" s="44">
        <v>1.4428000000000001</v>
      </c>
      <c r="C67" s="44">
        <v>0.18410000000000001</v>
      </c>
      <c r="D67" s="11">
        <f t="shared" si="0"/>
        <v>7.837045084193373</v>
      </c>
    </row>
    <row r="68" spans="1:4" x14ac:dyDescent="0.3">
      <c r="A68" s="12">
        <v>26</v>
      </c>
      <c r="B68" s="44">
        <v>1.3826000000000001</v>
      </c>
      <c r="C68" s="44">
        <v>0.22900000000000001</v>
      </c>
      <c r="D68" s="11">
        <f t="shared" ref="D68:D106" si="1">B68/C68</f>
        <v>6.0375545851528383</v>
      </c>
    </row>
    <row r="69" spans="1:4" x14ac:dyDescent="0.3">
      <c r="A69" s="12">
        <v>28</v>
      </c>
      <c r="B69" s="44">
        <v>1.3218000000000001</v>
      </c>
      <c r="C69" s="44">
        <v>0.27379999999999999</v>
      </c>
      <c r="D69" s="11">
        <f t="shared" si="1"/>
        <v>4.8276113951789634</v>
      </c>
    </row>
    <row r="70" spans="1:4" x14ac:dyDescent="0.3">
      <c r="A70" s="12">
        <v>30</v>
      </c>
      <c r="B70" s="44">
        <v>1.2583</v>
      </c>
      <c r="C70" s="44">
        <v>0.32779999999999998</v>
      </c>
      <c r="D70" s="11">
        <f t="shared" si="1"/>
        <v>3.8386211104331913</v>
      </c>
    </row>
    <row r="71" spans="1:4" x14ac:dyDescent="0.3">
      <c r="A71" s="12">
        <v>32</v>
      </c>
      <c r="B71" s="44">
        <v>1.1943999999999999</v>
      </c>
      <c r="C71" s="44">
        <v>0.38159999999999999</v>
      </c>
      <c r="D71" s="11">
        <f t="shared" si="1"/>
        <v>3.1299790356394128</v>
      </c>
    </row>
    <row r="72" spans="1:4" x14ac:dyDescent="0.3">
      <c r="A72" s="12">
        <v>33</v>
      </c>
      <c r="B72" s="44">
        <v>1.1734</v>
      </c>
      <c r="C72" s="44">
        <v>0.4209</v>
      </c>
      <c r="D72" s="11">
        <f t="shared" si="1"/>
        <v>2.7878355904015204</v>
      </c>
    </row>
    <row r="73" spans="1:4" x14ac:dyDescent="0.3">
      <c r="A73" s="12">
        <v>34</v>
      </c>
      <c r="B73" s="44">
        <v>1.1568000000000001</v>
      </c>
      <c r="C73" s="44">
        <v>0.45040000000000002</v>
      </c>
      <c r="D73" s="11">
        <f t="shared" si="1"/>
        <v>2.5683836589698048</v>
      </c>
    </row>
    <row r="74" spans="1:4" x14ac:dyDescent="0.3">
      <c r="A74" s="12">
        <v>35</v>
      </c>
      <c r="B74" s="44">
        <v>1.1378999999999999</v>
      </c>
      <c r="C74" s="44">
        <v>0.48149999999999998</v>
      </c>
      <c r="D74" s="11">
        <f t="shared" si="1"/>
        <v>2.3632398753894082</v>
      </c>
    </row>
    <row r="75" spans="1:4" x14ac:dyDescent="0.3">
      <c r="A75" s="12">
        <v>36</v>
      </c>
      <c r="B75" s="44">
        <v>1.1248</v>
      </c>
      <c r="C75" s="44">
        <v>0.51049999999999995</v>
      </c>
      <c r="D75" s="11">
        <f t="shared" si="1"/>
        <v>2.2033300685602355</v>
      </c>
    </row>
    <row r="76" spans="1:4" x14ac:dyDescent="0.3">
      <c r="A76" s="12">
        <v>37</v>
      </c>
      <c r="B76" s="44">
        <v>1.1176999999999999</v>
      </c>
      <c r="C76" s="44">
        <v>0.54500000000000004</v>
      </c>
      <c r="D76" s="11">
        <f t="shared" si="1"/>
        <v>2.0508256880733944</v>
      </c>
    </row>
    <row r="77" spans="1:4" x14ac:dyDescent="0.3">
      <c r="A77" s="12">
        <v>38</v>
      </c>
      <c r="B77" s="44">
        <v>1.1024</v>
      </c>
      <c r="C77" s="44">
        <v>0.57369999999999999</v>
      </c>
      <c r="D77" s="11">
        <f t="shared" si="1"/>
        <v>1.9215617918772878</v>
      </c>
    </row>
    <row r="78" spans="1:4" x14ac:dyDescent="0.3">
      <c r="A78" s="12">
        <v>39</v>
      </c>
      <c r="B78" s="44">
        <v>1.0891</v>
      </c>
      <c r="C78" s="44">
        <v>0.59989999999999999</v>
      </c>
      <c r="D78" s="11">
        <f t="shared" si="1"/>
        <v>1.8154692448741456</v>
      </c>
    </row>
    <row r="79" spans="1:4" x14ac:dyDescent="0.3">
      <c r="A79" s="12">
        <v>40</v>
      </c>
      <c r="B79" s="44">
        <v>1.0754999999999999</v>
      </c>
      <c r="C79" s="44">
        <v>0.628</v>
      </c>
      <c r="D79" s="11">
        <f t="shared" si="1"/>
        <v>1.7125796178343948</v>
      </c>
    </row>
    <row r="80" spans="1:4" x14ac:dyDescent="0.3">
      <c r="A80" s="12">
        <v>45</v>
      </c>
      <c r="B80" s="44">
        <v>1.0175000000000001</v>
      </c>
      <c r="C80" s="44">
        <v>0.75780000000000003</v>
      </c>
      <c r="D80" s="11">
        <f t="shared" si="1"/>
        <v>1.3427025600422275</v>
      </c>
    </row>
    <row r="81" spans="1:4" x14ac:dyDescent="0.3">
      <c r="A81" s="12">
        <v>50</v>
      </c>
      <c r="B81" s="44">
        <v>0.97160000000000002</v>
      </c>
      <c r="C81" s="44">
        <v>0.88200000000000001</v>
      </c>
      <c r="D81" s="11">
        <f t="shared" si="1"/>
        <v>1.1015873015873017</v>
      </c>
    </row>
    <row r="82" spans="1:4" x14ac:dyDescent="0.3">
      <c r="A82" s="12">
        <v>55</v>
      </c>
      <c r="B82" s="44">
        <v>0.92679999999999996</v>
      </c>
      <c r="C82" s="44">
        <v>1.0104</v>
      </c>
      <c r="D82" s="11">
        <f t="shared" si="1"/>
        <v>0.91726049089469519</v>
      </c>
    </row>
    <row r="83" spans="1:4" x14ac:dyDescent="0.3">
      <c r="A83" s="12">
        <v>60</v>
      </c>
      <c r="B83" s="44">
        <v>0.86599999999999999</v>
      </c>
      <c r="C83" s="44">
        <v>1.125</v>
      </c>
      <c r="D83" s="11">
        <f t="shared" si="1"/>
        <v>0.76977777777777778</v>
      </c>
    </row>
    <row r="84" spans="1:4" x14ac:dyDescent="0.3">
      <c r="A84" s="12">
        <v>65</v>
      </c>
      <c r="B84" s="44">
        <v>0.76600000000000001</v>
      </c>
      <c r="C84" s="44">
        <v>1.2321</v>
      </c>
      <c r="D84" s="11">
        <f t="shared" si="1"/>
        <v>0.62170278386494604</v>
      </c>
    </row>
    <row r="85" spans="1:4" x14ac:dyDescent="0.3">
      <c r="A85" s="12">
        <v>70</v>
      </c>
      <c r="B85" s="44">
        <v>0.64280000000000004</v>
      </c>
      <c r="C85" s="44">
        <v>1.3245</v>
      </c>
      <c r="D85" s="11">
        <f t="shared" si="1"/>
        <v>0.48531521328803323</v>
      </c>
    </row>
    <row r="86" spans="1:4" x14ac:dyDescent="0.3">
      <c r="A86" s="12">
        <v>75</v>
      </c>
      <c r="B86" s="44">
        <v>0.5</v>
      </c>
      <c r="C86" s="44">
        <v>1.3995</v>
      </c>
      <c r="D86" s="11">
        <f t="shared" si="1"/>
        <v>0.35727045373347627</v>
      </c>
    </row>
    <row r="87" spans="1:4" x14ac:dyDescent="0.3">
      <c r="A87" s="12">
        <v>80</v>
      </c>
      <c r="B87" s="44">
        <v>0.34200000000000003</v>
      </c>
      <c r="C87" s="44">
        <v>1.4548000000000001</v>
      </c>
      <c r="D87" s="11">
        <f t="shared" si="1"/>
        <v>0.23508386032444323</v>
      </c>
    </row>
    <row r="88" spans="1:4" x14ac:dyDescent="0.3">
      <c r="A88" s="12">
        <v>85</v>
      </c>
      <c r="B88" s="44">
        <v>0.1736</v>
      </c>
      <c r="C88" s="44">
        <v>1.4885999999999999</v>
      </c>
      <c r="D88" s="11">
        <f t="shared" si="1"/>
        <v>0.11661964261722424</v>
      </c>
    </row>
    <row r="89" spans="1:4" x14ac:dyDescent="0.3">
      <c r="A89" s="12">
        <v>90</v>
      </c>
      <c r="B89" s="44">
        <v>0</v>
      </c>
      <c r="C89" s="44">
        <v>1.5</v>
      </c>
      <c r="D89" s="11">
        <f t="shared" si="1"/>
        <v>0</v>
      </c>
    </row>
    <row r="90" spans="1:4" x14ac:dyDescent="0.3">
      <c r="A90" s="12">
        <v>95</v>
      </c>
      <c r="B90" s="44">
        <v>-0.1736</v>
      </c>
      <c r="C90" s="44">
        <v>1.4885999999999999</v>
      </c>
      <c r="D90" s="11">
        <f t="shared" si="1"/>
        <v>-0.11661964261722424</v>
      </c>
    </row>
    <row r="91" spans="1:4" x14ac:dyDescent="0.3">
      <c r="A91" s="12">
        <v>100</v>
      </c>
      <c r="B91" s="44">
        <v>-0.34200000000000003</v>
      </c>
      <c r="C91" s="44">
        <v>1.4548000000000001</v>
      </c>
      <c r="D91" s="11">
        <f t="shared" si="1"/>
        <v>-0.23508386032444323</v>
      </c>
    </row>
    <row r="92" spans="1:4" x14ac:dyDescent="0.3">
      <c r="A92" s="12">
        <v>105</v>
      </c>
      <c r="B92" s="44">
        <v>-0.5</v>
      </c>
      <c r="C92" s="44">
        <v>1.3995</v>
      </c>
      <c r="D92" s="11">
        <f t="shared" si="1"/>
        <v>-0.35727045373347627</v>
      </c>
    </row>
    <row r="93" spans="1:4" x14ac:dyDescent="0.3">
      <c r="A93" s="12">
        <v>110</v>
      </c>
      <c r="B93" s="44">
        <v>-0.64280000000000004</v>
      </c>
      <c r="C93" s="44">
        <v>1.3245</v>
      </c>
      <c r="D93" s="11">
        <f t="shared" si="1"/>
        <v>-0.48531521328803323</v>
      </c>
    </row>
    <row r="94" spans="1:4" x14ac:dyDescent="0.3">
      <c r="A94" s="12">
        <v>115</v>
      </c>
      <c r="B94" s="44">
        <v>-0.76600000000000001</v>
      </c>
      <c r="C94" s="44">
        <v>1.2321</v>
      </c>
      <c r="D94" s="11">
        <f t="shared" si="1"/>
        <v>-0.62170278386494604</v>
      </c>
    </row>
    <row r="95" spans="1:4" x14ac:dyDescent="0.3">
      <c r="A95" s="12">
        <v>120</v>
      </c>
      <c r="B95" s="44">
        <v>-0.86599999999999999</v>
      </c>
      <c r="C95" s="44">
        <v>1.125</v>
      </c>
      <c r="D95" s="11">
        <f t="shared" si="1"/>
        <v>-0.76977777777777778</v>
      </c>
    </row>
    <row r="96" spans="1:4" x14ac:dyDescent="0.3">
      <c r="A96" s="12">
        <v>125</v>
      </c>
      <c r="B96" s="44">
        <v>-0.93969999999999998</v>
      </c>
      <c r="C96" s="44">
        <v>1.0065</v>
      </c>
      <c r="D96" s="11">
        <f t="shared" si="1"/>
        <v>-0.93363139592647792</v>
      </c>
    </row>
    <row r="97" spans="1:4" x14ac:dyDescent="0.3">
      <c r="A97" s="12">
        <v>130</v>
      </c>
      <c r="B97" s="44">
        <v>-0.98480000000000001</v>
      </c>
      <c r="C97" s="44">
        <v>0.88029999999999997</v>
      </c>
      <c r="D97" s="11">
        <f t="shared" si="1"/>
        <v>-1.1187095308417585</v>
      </c>
    </row>
    <row r="98" spans="1:4" x14ac:dyDescent="0.3">
      <c r="A98" s="12">
        <v>135</v>
      </c>
      <c r="B98" s="44">
        <v>-1</v>
      </c>
      <c r="C98" s="44">
        <v>0.75</v>
      </c>
      <c r="D98" s="11">
        <f t="shared" si="1"/>
        <v>-1.3333333333333333</v>
      </c>
    </row>
    <row r="99" spans="1:4" x14ac:dyDescent="0.3">
      <c r="A99" s="12">
        <v>140</v>
      </c>
      <c r="B99" s="44">
        <v>-0.98480000000000001</v>
      </c>
      <c r="C99" s="44">
        <v>0.61970000000000003</v>
      </c>
      <c r="D99" s="11">
        <f t="shared" si="1"/>
        <v>-1.5891560432467322</v>
      </c>
    </row>
    <row r="100" spans="1:4" x14ac:dyDescent="0.3">
      <c r="A100" s="12">
        <v>145</v>
      </c>
      <c r="B100" s="44">
        <v>-0.93969999999999998</v>
      </c>
      <c r="C100" s="44">
        <v>0.49349999999999999</v>
      </c>
      <c r="D100" s="11">
        <f t="shared" si="1"/>
        <v>-1.9041540020263423</v>
      </c>
    </row>
    <row r="101" spans="1:4" x14ac:dyDescent="0.3">
      <c r="A101" s="12">
        <v>150</v>
      </c>
      <c r="B101" s="44">
        <v>-0.86599999999999999</v>
      </c>
      <c r="C101" s="44">
        <v>0.375</v>
      </c>
      <c r="D101" s="11">
        <f t="shared" si="1"/>
        <v>-2.3093333333333335</v>
      </c>
    </row>
    <row r="102" spans="1:4" x14ac:dyDescent="0.3">
      <c r="A102" s="12">
        <v>155</v>
      </c>
      <c r="B102" s="44">
        <v>-0.76600000000000001</v>
      </c>
      <c r="C102" s="44">
        <v>0.26790000000000003</v>
      </c>
      <c r="D102" s="11">
        <f t="shared" si="1"/>
        <v>-2.8592758491974615</v>
      </c>
    </row>
    <row r="103" spans="1:4" x14ac:dyDescent="0.3">
      <c r="A103" s="12">
        <v>160</v>
      </c>
      <c r="B103" s="44">
        <v>-0.64280000000000004</v>
      </c>
      <c r="C103" s="44">
        <v>0.17549999999999999</v>
      </c>
      <c r="D103" s="11">
        <f t="shared" si="1"/>
        <v>-3.6626780626780633</v>
      </c>
    </row>
    <row r="104" spans="1:4" x14ac:dyDescent="0.3">
      <c r="A104" s="12">
        <v>165</v>
      </c>
      <c r="B104" s="44">
        <v>-0.5</v>
      </c>
      <c r="C104" s="44">
        <v>0.10050000000000001</v>
      </c>
      <c r="D104" s="11">
        <f t="shared" si="1"/>
        <v>-4.9751243781094523</v>
      </c>
    </row>
    <row r="105" spans="1:4" x14ac:dyDescent="0.3">
      <c r="A105" s="12">
        <v>170</v>
      </c>
      <c r="B105" s="44">
        <v>-0.34200000000000003</v>
      </c>
      <c r="C105" s="44">
        <v>4.5199999999999997E-2</v>
      </c>
      <c r="D105" s="11">
        <f t="shared" si="1"/>
        <v>-7.5663716814159301</v>
      </c>
    </row>
    <row r="106" spans="1:4" x14ac:dyDescent="0.3">
      <c r="A106" s="12">
        <v>175</v>
      </c>
      <c r="B106" s="44">
        <v>-0.1736</v>
      </c>
      <c r="C106" s="44">
        <v>1.14E-2</v>
      </c>
      <c r="D106" s="11">
        <f t="shared" si="1"/>
        <v>-15.228070175438596</v>
      </c>
    </row>
    <row r="107" spans="1:4" x14ac:dyDescent="0.3">
      <c r="A107" s="12">
        <v>180</v>
      </c>
      <c r="B107" s="44">
        <v>0</v>
      </c>
      <c r="C107" s="44">
        <v>0</v>
      </c>
      <c r="D107" s="11">
        <v>0</v>
      </c>
    </row>
  </sheetData>
  <sheetProtection algorithmName="SHA-512" hashValue="7cGRnyetC/cBF55NlwHqygjxXzYqoAW/YVRcVzUumT5/nXzjXJ0htFMGsRIy7iNYhnicp/4U1NzLTFWfk8FxTw==" saltValue="XuQjaeVY8O+0ZIx6uGBP+A==" spinCount="100000" sheet="1" objects="1" scenarios="1"/>
  <phoneticPr fontId="1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230CB-6A2F-4905-852B-FDF975B264C3}">
  <sheetPr codeName="Sheet3"/>
  <dimension ref="A1:N42"/>
  <sheetViews>
    <sheetView workbookViewId="0">
      <selection activeCell="B36" sqref="B36"/>
    </sheetView>
  </sheetViews>
  <sheetFormatPr defaultColWidth="15.75" defaultRowHeight="14" x14ac:dyDescent="0.3"/>
  <sheetData>
    <row r="1" spans="1:14" ht="18" x14ac:dyDescent="0.3">
      <c r="A1" s="84" t="s">
        <v>60</v>
      </c>
      <c r="B1" s="84"/>
      <c r="C1" s="84"/>
      <c r="D1" s="84"/>
      <c r="E1" s="84"/>
      <c r="F1" s="84"/>
      <c r="G1" s="7"/>
      <c r="H1" s="7"/>
      <c r="I1" s="7"/>
      <c r="J1" s="7"/>
      <c r="K1" s="7"/>
      <c r="L1" s="7"/>
      <c r="M1" s="7"/>
      <c r="N1" s="7"/>
    </row>
    <row r="2" spans="1:14" s="3" customFormat="1" x14ac:dyDescent="0.3">
      <c r="A2" s="3" t="s">
        <v>4</v>
      </c>
      <c r="B2" s="3">
        <f>BLD!B2</f>
        <v>2.8</v>
      </c>
      <c r="C2" s="3" t="s">
        <v>5</v>
      </c>
      <c r="D2" s="3">
        <f>BLD!D2</f>
        <v>89.165999999999997</v>
      </c>
      <c r="E2" s="1" t="s">
        <v>21</v>
      </c>
      <c r="F2" s="3">
        <v>3</v>
      </c>
    </row>
    <row r="3" spans="1:14" s="1" customFormat="1" x14ac:dyDescent="0.3">
      <c r="A3" s="1" t="s">
        <v>1</v>
      </c>
      <c r="B3" s="1" t="s">
        <v>0</v>
      </c>
      <c r="C3" s="1" t="s">
        <v>18</v>
      </c>
      <c r="D3" s="1" t="s">
        <v>19</v>
      </c>
      <c r="E3" s="1" t="s">
        <v>25</v>
      </c>
    </row>
    <row r="4" spans="1:14" x14ac:dyDescent="0.3">
      <c r="A4" s="3" t="str">
        <f>Performance!A13</f>
        <v>Root</v>
      </c>
      <c r="B4" s="2">
        <f>Performance!B13</f>
        <v>0.15</v>
      </c>
      <c r="C4" s="2"/>
      <c r="D4" s="2"/>
      <c r="E4" s="2">
        <f>(2/PI())*ACOS(EXP(-($F$2*$D$2*(1-B4))/(2*B4*$D$2*SIN(Performance!G13*PI()/180))))</f>
        <v>0.99999999998975186</v>
      </c>
    </row>
    <row r="5" spans="1:14" x14ac:dyDescent="0.3">
      <c r="A5" s="3">
        <f>Performance!A14</f>
        <v>2</v>
      </c>
      <c r="B5" s="2">
        <f>B4+Performance!$D$9</f>
        <v>0.25</v>
      </c>
      <c r="C5" s="2"/>
      <c r="D5" s="2"/>
      <c r="E5" s="2">
        <f>(2/PI())*ACOS(EXP(-($F$2*$D$2*(1-B5))/(2*B5*$D$2*SIN(Performance!G14*PI()/180))))</f>
        <v>0.99999877025349826</v>
      </c>
    </row>
    <row r="6" spans="1:14" x14ac:dyDescent="0.3">
      <c r="A6" s="3">
        <f>Performance!A15</f>
        <v>3</v>
      </c>
      <c r="B6" s="2">
        <f>B5+Performance!$D$9</f>
        <v>0.35</v>
      </c>
      <c r="C6" s="2"/>
      <c r="D6" s="2"/>
      <c r="E6" s="2">
        <f>(2/PI())*ACOS(EXP(-($F$2*$D$2*(1-B6))/(2*B6*$D$2*SIN(Performance!G15*PI()/180))))</f>
        <v>0.9998152424951704</v>
      </c>
    </row>
    <row r="7" spans="1:14" x14ac:dyDescent="0.3">
      <c r="A7" s="3">
        <f>Performance!A16</f>
        <v>4</v>
      </c>
      <c r="B7" s="2">
        <f>B6+Performance!$D$9</f>
        <v>0.44999999999999996</v>
      </c>
      <c r="C7" s="2"/>
      <c r="D7" s="2"/>
      <c r="E7" s="2">
        <f>(2/PI())*ACOS(EXP(-($F$2*$D$2*(1-B7))/(2*B7*$D$2*SIN(Performance!G16*PI()/180))))</f>
        <v>0.99700822101846887</v>
      </c>
    </row>
    <row r="8" spans="1:14" x14ac:dyDescent="0.3">
      <c r="A8" s="3">
        <f>Performance!A17</f>
        <v>5</v>
      </c>
      <c r="B8" s="2">
        <f>B7+Performance!$D$9</f>
        <v>0.54999999999999993</v>
      </c>
      <c r="C8" s="2"/>
      <c r="D8" s="2"/>
      <c r="E8" s="2">
        <f>(2/PI())*ACOS(EXP(-($F$2*$D$2*(1-B8))/(2*B8*$D$2*SIN(Performance!G17*PI()/180))))</f>
        <v>0.98239831590270688</v>
      </c>
    </row>
    <row r="9" spans="1:14" x14ac:dyDescent="0.3">
      <c r="A9" s="3">
        <f>Performance!A18</f>
        <v>6</v>
      </c>
      <c r="B9" s="2">
        <f>B8+Performance!$D$9</f>
        <v>0.64999999999999991</v>
      </c>
      <c r="C9" s="2"/>
      <c r="D9" s="2"/>
      <c r="E9" s="2">
        <f>(2/PI())*ACOS(EXP(-($F$2*$D$2*(1-B9))/(2*B9*$D$2*SIN(Performance!G18*PI()/180))))</f>
        <v>0.9398931139100023</v>
      </c>
    </row>
    <row r="10" spans="1:14" x14ac:dyDescent="0.3">
      <c r="A10" s="3">
        <f>Performance!A19</f>
        <v>7</v>
      </c>
      <c r="B10" s="2">
        <f>B9+Performance!$D$9</f>
        <v>0.74999999999999989</v>
      </c>
      <c r="C10" s="2"/>
      <c r="D10" s="2"/>
      <c r="E10" s="2">
        <f>(2/PI())*ACOS(EXP(-($F$2*$D$2*(1-B10))/(2*B10*$D$2*SIN(Performance!G19*PI()/180))))</f>
        <v>0.85108033196944788</v>
      </c>
    </row>
    <row r="11" spans="1:14" x14ac:dyDescent="0.3">
      <c r="A11" s="3">
        <f>Performance!A20</f>
        <v>8</v>
      </c>
      <c r="B11" s="2">
        <f>B10+Performance!$D$9</f>
        <v>0.84999999999999987</v>
      </c>
      <c r="C11" s="2"/>
      <c r="D11" s="2"/>
      <c r="E11" s="2">
        <f>(2/PI())*ACOS(EXP(-($F$2*$D$2*(1-B11))/(2*B11*$D$2*SIN(Performance!G20*PI()/180))))</f>
        <v>0.69484631239594885</v>
      </c>
    </row>
    <row r="12" spans="1:14" x14ac:dyDescent="0.3">
      <c r="A12" s="3" t="str">
        <f>Performance!A21</f>
        <v>Tip</v>
      </c>
      <c r="B12" s="2">
        <f>B11+Performance!$D$9</f>
        <v>0.94999999999999984</v>
      </c>
      <c r="C12" s="2"/>
      <c r="D12" s="2"/>
      <c r="E12" s="2">
        <f>(2/PI())*ACOS(EXP(-($F$2*$D$2*(1-B12))/(2*B12*$D$2*SIN(Performance!G21*PI()/180))))</f>
        <v>0.41611867053732648</v>
      </c>
    </row>
    <row r="13" spans="1:14" x14ac:dyDescent="0.3">
      <c r="A13" s="3"/>
      <c r="B13" s="2"/>
      <c r="C13" s="2"/>
      <c r="D13" s="2"/>
      <c r="E13" s="2"/>
    </row>
    <row r="14" spans="1:14" x14ac:dyDescent="0.3">
      <c r="A14" s="3"/>
      <c r="B14" s="2"/>
      <c r="C14" s="2"/>
      <c r="D14" s="2"/>
      <c r="E14" s="2"/>
    </row>
    <row r="15" spans="1:14" x14ac:dyDescent="0.3">
      <c r="A15" s="3"/>
      <c r="B15" s="2"/>
      <c r="C15" s="2"/>
      <c r="D15" s="2"/>
      <c r="E15" s="2"/>
    </row>
    <row r="16" spans="1:14" x14ac:dyDescent="0.3">
      <c r="A16" s="3"/>
      <c r="B16" s="2"/>
      <c r="C16" s="2"/>
      <c r="D16" s="2"/>
      <c r="E16" s="2"/>
    </row>
    <row r="17" spans="1:5" x14ac:dyDescent="0.3">
      <c r="A17" s="3"/>
      <c r="B17" s="2"/>
      <c r="C17" s="2"/>
      <c r="D17" s="2"/>
      <c r="E17" s="2"/>
    </row>
    <row r="18" spans="1:5" x14ac:dyDescent="0.3">
      <c r="A18" s="3"/>
      <c r="B18" s="2"/>
      <c r="C18" s="2"/>
      <c r="D18" s="2"/>
      <c r="E18" s="2"/>
    </row>
    <row r="19" spans="1:5" x14ac:dyDescent="0.3">
      <c r="A19" s="3"/>
      <c r="B19" s="2"/>
      <c r="C19" s="2"/>
      <c r="D19" s="2"/>
      <c r="E19" s="2"/>
    </row>
    <row r="20" spans="1:5" x14ac:dyDescent="0.3">
      <c r="A20" s="3"/>
      <c r="B20" s="2"/>
      <c r="C20" s="2"/>
      <c r="D20" s="2"/>
      <c r="E20" s="2"/>
    </row>
    <row r="21" spans="1:5" x14ac:dyDescent="0.3">
      <c r="A21" s="3"/>
      <c r="B21" s="2"/>
      <c r="C21" s="2"/>
      <c r="D21" s="2"/>
      <c r="E21" s="2"/>
    </row>
    <row r="22" spans="1:5" x14ac:dyDescent="0.3">
      <c r="A22" s="3"/>
      <c r="B22" s="2"/>
      <c r="C22" s="2"/>
      <c r="D22" s="2"/>
      <c r="E22" s="2"/>
    </row>
    <row r="23" spans="1:5" x14ac:dyDescent="0.3">
      <c r="A23" s="3"/>
      <c r="B23" s="2"/>
      <c r="C23" s="2"/>
      <c r="D23" s="2"/>
      <c r="E23" s="2"/>
    </row>
    <row r="24" spans="1:5" x14ac:dyDescent="0.3">
      <c r="A24" s="3"/>
      <c r="B24" s="2"/>
      <c r="C24" s="2"/>
      <c r="D24" s="2"/>
      <c r="E24" s="2"/>
    </row>
    <row r="25" spans="1:5" x14ac:dyDescent="0.3">
      <c r="A25" s="3"/>
      <c r="B25" s="2"/>
      <c r="C25" s="2"/>
      <c r="D25" s="2"/>
      <c r="E25" s="2"/>
    </row>
    <row r="26" spans="1:5" x14ac:dyDescent="0.3">
      <c r="A26" s="3"/>
      <c r="B26" s="2"/>
      <c r="C26" s="2"/>
      <c r="D26" s="2"/>
      <c r="E26" s="2"/>
    </row>
    <row r="27" spans="1:5" x14ac:dyDescent="0.3">
      <c r="A27" s="3"/>
      <c r="B27" s="2"/>
      <c r="C27" s="2"/>
      <c r="D27" s="2"/>
      <c r="E27" s="2"/>
    </row>
    <row r="28" spans="1:5" x14ac:dyDescent="0.3">
      <c r="A28" s="3"/>
      <c r="B28" s="2"/>
      <c r="C28" s="2"/>
      <c r="D28" s="2"/>
      <c r="E28" s="2"/>
    </row>
    <row r="29" spans="1:5" x14ac:dyDescent="0.3">
      <c r="A29" s="3"/>
      <c r="B29" s="2"/>
      <c r="C29" s="2"/>
      <c r="D29" s="2"/>
      <c r="E29" s="2"/>
    </row>
    <row r="30" spans="1:5" x14ac:dyDescent="0.3">
      <c r="A30" s="3"/>
      <c r="B30" s="2"/>
      <c r="C30" s="2"/>
      <c r="D30" s="2"/>
      <c r="E30" s="2"/>
    </row>
    <row r="31" spans="1:5" x14ac:dyDescent="0.3">
      <c r="A31" s="3"/>
      <c r="B31" s="2"/>
      <c r="C31" s="2"/>
      <c r="D31" s="2"/>
      <c r="E31" s="2"/>
    </row>
    <row r="32" spans="1:5" x14ac:dyDescent="0.3">
      <c r="A32" s="3"/>
      <c r="B32" s="2"/>
      <c r="C32" s="2"/>
      <c r="D32" s="2"/>
      <c r="E32" s="2"/>
    </row>
    <row r="33" spans="1:5" x14ac:dyDescent="0.3">
      <c r="A33" s="3"/>
      <c r="B33" s="2"/>
      <c r="C33" s="2"/>
      <c r="D33" s="2"/>
      <c r="E33" s="2"/>
    </row>
    <row r="34" spans="1:5" x14ac:dyDescent="0.3">
      <c r="A34" s="3"/>
      <c r="B34" s="2"/>
      <c r="C34" s="2"/>
      <c r="D34" s="2"/>
      <c r="E34" s="2"/>
    </row>
    <row r="35" spans="1:5" x14ac:dyDescent="0.3">
      <c r="A35" s="3"/>
      <c r="B35" s="2"/>
      <c r="C35" s="2"/>
      <c r="D35" s="2"/>
      <c r="E35" s="2"/>
    </row>
    <row r="36" spans="1:5" x14ac:dyDescent="0.3">
      <c r="A36" s="3"/>
      <c r="B36" s="2"/>
      <c r="C36" s="2"/>
      <c r="D36" s="2"/>
      <c r="E36" s="2"/>
    </row>
    <row r="37" spans="1:5" x14ac:dyDescent="0.3">
      <c r="A37" s="3"/>
      <c r="B37" s="2"/>
      <c r="C37" s="2"/>
      <c r="D37" s="2"/>
      <c r="E37" s="2"/>
    </row>
    <row r="38" spans="1:5" x14ac:dyDescent="0.3">
      <c r="A38" s="3"/>
      <c r="B38" s="2"/>
      <c r="C38" s="2"/>
      <c r="D38" s="2"/>
      <c r="E38" s="2"/>
    </row>
    <row r="39" spans="1:5" x14ac:dyDescent="0.3">
      <c r="A39" s="3"/>
      <c r="B39" s="2"/>
      <c r="C39" s="2"/>
      <c r="D39" s="2"/>
      <c r="E39" s="2"/>
    </row>
    <row r="40" spans="1:5" x14ac:dyDescent="0.3">
      <c r="A40" s="3"/>
      <c r="B40" s="2"/>
      <c r="C40" s="2"/>
      <c r="D40" s="2"/>
      <c r="E40" s="2"/>
    </row>
    <row r="41" spans="1:5" x14ac:dyDescent="0.3">
      <c r="A41" s="3"/>
      <c r="B41" s="2"/>
      <c r="C41" s="2"/>
      <c r="D41" s="2"/>
      <c r="E41" s="2"/>
    </row>
    <row r="42" spans="1:5" x14ac:dyDescent="0.3">
      <c r="A42" s="3"/>
      <c r="B42" s="2"/>
      <c r="C42" s="2"/>
      <c r="D42" s="2"/>
      <c r="E42" s="2"/>
    </row>
  </sheetData>
  <sheetProtection algorithmName="SHA-512" hashValue="wKZP3M6prjcuYviRzkX9RiqRvMRAWrifksT04+qwn/Lb66Gy+tZI8fFpLLuSljsmT4Fg8FOE+Zo9pHlr8yBX0g==" saltValue="ktBMJnfWHqpNOCzcKpq+mw==" spinCount="100000" sheet="1" objects="1" scenarios="1"/>
  <mergeCells count="1">
    <mergeCell ref="A1:F1"/>
  </mergeCells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8385C-3BB3-48CA-B3B0-60D4B5B595C4}">
  <sheetPr codeName="Sheet4"/>
  <dimension ref="A1:AE55"/>
  <sheetViews>
    <sheetView tabSelected="1" zoomScaleNormal="100" workbookViewId="0">
      <selection activeCell="G21" sqref="G21"/>
    </sheetView>
  </sheetViews>
  <sheetFormatPr defaultColWidth="12.75" defaultRowHeight="24" customHeight="1" x14ac:dyDescent="0.3"/>
  <cols>
    <col min="1" max="7" width="12.75" style="14"/>
    <col min="8" max="8" width="12.75" style="14" customWidth="1"/>
    <col min="9" max="16384" width="12.75" style="14"/>
  </cols>
  <sheetData>
    <row r="1" spans="1:31" ht="24" customHeight="1" x14ac:dyDescent="0.3">
      <c r="A1" s="9" t="s">
        <v>12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</row>
    <row r="3" spans="1:31" ht="24" customHeight="1" x14ac:dyDescent="0.3">
      <c r="A3" s="90" t="s">
        <v>13</v>
      </c>
      <c r="B3" s="91"/>
      <c r="C3" s="92"/>
      <c r="D3" s="53" t="s">
        <v>67</v>
      </c>
      <c r="G3" s="104" t="s">
        <v>36</v>
      </c>
      <c r="H3" s="105"/>
      <c r="I3" s="106"/>
    </row>
    <row r="4" spans="1:31" ht="24" customHeight="1" x14ac:dyDescent="0.3">
      <c r="A4" s="45" t="s">
        <v>33</v>
      </c>
      <c r="B4" s="46" t="s">
        <v>34</v>
      </c>
      <c r="C4" s="47" t="s">
        <v>35</v>
      </c>
      <c r="D4" s="63">
        <v>1.2250000000000001</v>
      </c>
      <c r="G4" s="19" t="s">
        <v>37</v>
      </c>
      <c r="H4" s="41">
        <f ca="1">SUM(L13:L21)/1000000</f>
        <v>3.1028807214231655</v>
      </c>
      <c r="I4" s="20" t="s">
        <v>74</v>
      </c>
    </row>
    <row r="5" spans="1:31" ht="24" customHeight="1" x14ac:dyDescent="0.3">
      <c r="A5" s="15" t="s">
        <v>49</v>
      </c>
      <c r="B5" s="16">
        <f>BLD!D2</f>
        <v>89.165999999999997</v>
      </c>
      <c r="C5" s="48" t="s">
        <v>30</v>
      </c>
      <c r="D5" s="52" t="s">
        <v>71</v>
      </c>
      <c r="G5" s="19" t="s">
        <v>39</v>
      </c>
      <c r="H5" s="41">
        <f ca="1">SUM(M13:M21)*B9/1000000</f>
        <v>63.164726856119884</v>
      </c>
      <c r="I5" s="20" t="s">
        <v>75</v>
      </c>
    </row>
    <row r="6" spans="1:31" ht="24" customHeight="1" x14ac:dyDescent="0.3">
      <c r="A6" s="15" t="s">
        <v>20</v>
      </c>
      <c r="B6" s="16">
        <v>3</v>
      </c>
      <c r="C6" s="48"/>
      <c r="D6" s="64">
        <v>0</v>
      </c>
      <c r="G6" s="19" t="s">
        <v>38</v>
      </c>
      <c r="H6" s="65">
        <f ca="1">H4*1000000/(0.5*$D$4*$B$7^2*PI()*$B$5^2)</f>
        <v>1.6761974510995714</v>
      </c>
      <c r="I6" s="20"/>
    </row>
    <row r="7" spans="1:31" ht="24" customHeight="1" x14ac:dyDescent="0.3">
      <c r="A7" s="15" t="s">
        <v>77</v>
      </c>
      <c r="B7" s="54">
        <v>11</v>
      </c>
      <c r="C7" s="16" t="s">
        <v>31</v>
      </c>
      <c r="D7" s="93" t="s">
        <v>68</v>
      </c>
      <c r="G7" s="21" t="s">
        <v>40</v>
      </c>
      <c r="H7" s="66">
        <f ca="1">H5*1000000/(0.5*$D$4*$B$7^3*PI()*$B$5^2)</f>
        <v>3.1020017045517254</v>
      </c>
      <c r="I7" s="23"/>
    </row>
    <row r="8" spans="1:31" ht="24" customHeight="1" x14ac:dyDescent="0.3">
      <c r="A8" s="15" t="s">
        <v>26</v>
      </c>
      <c r="B8" s="54">
        <v>9.5</v>
      </c>
      <c r="C8" s="16"/>
      <c r="D8" s="94"/>
    </row>
    <row r="9" spans="1:31" ht="24" customHeight="1" x14ac:dyDescent="0.3">
      <c r="A9" s="49" t="s">
        <v>50</v>
      </c>
      <c r="B9" s="50">
        <f>B8*B7/B5</f>
        <v>1.1719713792252653</v>
      </c>
      <c r="C9" s="50" t="s">
        <v>32</v>
      </c>
      <c r="D9" s="51">
        <v>0.1</v>
      </c>
    </row>
    <row r="10" spans="1:31" ht="24" customHeight="1" x14ac:dyDescent="0.3">
      <c r="G10" s="17"/>
      <c r="H10" s="17"/>
      <c r="I10" s="17"/>
      <c r="J10" s="17"/>
      <c r="K10" s="17"/>
      <c r="L10" s="17"/>
      <c r="M10" s="17"/>
      <c r="N10" s="17"/>
    </row>
    <row r="11" spans="1:31" ht="24" customHeight="1" x14ac:dyDescent="0.3">
      <c r="A11" s="98" t="s">
        <v>73</v>
      </c>
      <c r="B11" s="99"/>
      <c r="C11" s="99"/>
      <c r="D11" s="99"/>
      <c r="E11" s="100"/>
      <c r="F11" s="13"/>
      <c r="G11" s="88" t="s">
        <v>44</v>
      </c>
      <c r="H11" s="89"/>
      <c r="I11" s="17"/>
      <c r="J11" s="95" t="s">
        <v>52</v>
      </c>
      <c r="K11" s="96"/>
      <c r="L11" s="96"/>
      <c r="M11" s="96"/>
      <c r="N11" s="96"/>
      <c r="O11" s="96"/>
      <c r="P11" s="96"/>
      <c r="Q11" s="96"/>
      <c r="R11" s="97"/>
    </row>
    <row r="12" spans="1:31" s="18" customFormat="1" ht="24" customHeight="1" x14ac:dyDescent="0.3">
      <c r="A12" s="55" t="s">
        <v>48</v>
      </c>
      <c r="B12" s="56" t="s">
        <v>0</v>
      </c>
      <c r="C12" s="56" t="s">
        <v>14</v>
      </c>
      <c r="D12" s="56" t="s">
        <v>47</v>
      </c>
      <c r="E12" s="57" t="s">
        <v>27</v>
      </c>
      <c r="G12" s="31" t="s">
        <v>45</v>
      </c>
      <c r="H12" s="32" t="s">
        <v>46</v>
      </c>
      <c r="J12" s="36" t="s">
        <v>56</v>
      </c>
      <c r="K12" s="37" t="s">
        <v>53</v>
      </c>
      <c r="L12" s="37" t="s">
        <v>37</v>
      </c>
      <c r="M12" s="37" t="s">
        <v>54</v>
      </c>
      <c r="N12" s="37" t="s">
        <v>57</v>
      </c>
      <c r="O12" s="37" t="s">
        <v>55</v>
      </c>
      <c r="P12" s="37" t="s">
        <v>61</v>
      </c>
      <c r="Q12" s="37" t="s">
        <v>62</v>
      </c>
      <c r="R12" s="38" t="s">
        <v>63</v>
      </c>
    </row>
    <row r="13" spans="1:31" ht="24" customHeight="1" x14ac:dyDescent="0.3">
      <c r="A13" s="58" t="s">
        <v>2</v>
      </c>
      <c r="B13" s="59">
        <v>0.15</v>
      </c>
      <c r="C13" s="59">
        <f ca="1">FORECAST(B13,OFFSET(BLD!$E$4:$E$44,MATCH(B13,BLD!$C$4:'BLD'!$C$44)-1,0,2,1),OFFSET(BLD!$C$4:$C$44,MATCH(B13,BLD!$C$4:$C$44)-1,0,2,1))</f>
        <v>5.602118500888194</v>
      </c>
      <c r="D13" s="59">
        <f ca="1">FORECAST(B13,OFFSET(BLD!$D$4:$D$44,MATCH(B13,BLD!$C$4:'BLD'!$C$44)-1,0,2,1),OFFSET(BLD!$C$4:$C$44,MATCH(B13,BLD!$C$4:$C$44)-1,0,2,1))</f>
        <v>13.987745991773661</v>
      </c>
      <c r="E13" s="60">
        <f t="shared" ref="E13:E21" ca="1" si="0">$B$6*C13/(2*PI()*B13*$B$5)</f>
        <v>0.1999876300838693</v>
      </c>
      <c r="G13" s="67">
        <v>20</v>
      </c>
      <c r="H13" s="69">
        <f t="shared" ref="H13:H21" ca="1" si="1">(SIN(G13*PI()/180)/(1-E37))-(COS(G13*PI()/180)/(A25*(1+F37)))</f>
        <v>-0.13391717337326398</v>
      </c>
      <c r="J13" s="26">
        <f t="shared" ref="J13:J21" ca="1" si="2">0.5*$D$4*($B$7*A25)^2*A37*$B$6*C13*$D$9*$B$5</f>
        <v>22696.071763019725</v>
      </c>
      <c r="K13" s="40">
        <f t="shared" ref="K13:K21" ca="1" si="3">0.5*$D$4*($B$7*A25)^2*B37*$B$6*C13*$D$9*$B$5</f>
        <v>7998.8758144504645</v>
      </c>
      <c r="L13" s="40">
        <f ca="1">J13</f>
        <v>22696.071763019725</v>
      </c>
      <c r="M13" s="40">
        <f ca="1">K13*B13*$B$5</f>
        <v>106984.16413069352</v>
      </c>
      <c r="N13" s="40">
        <f t="shared" ref="N13:N21" ca="1" si="4">0.5*$D$4*($B$7*A25)^2*A37*$B$6*C13</f>
        <v>2545.3728734068732</v>
      </c>
      <c r="O13" s="40">
        <f t="shared" ref="O13:O21" ca="1" si="5">0.5*$D$4*($B$7*A25)^2*B37*$B$6*C13</f>
        <v>897.0768919151318</v>
      </c>
      <c r="P13" s="40">
        <f t="shared" ref="P13:P21" ca="1" si="6">N13/(0.5*$D$4*$B$7^2*PI()*$B$5*2)</f>
        <v>6.1302868293464069E-2</v>
      </c>
      <c r="Q13" s="40">
        <f t="shared" ref="Q13:Q21" ca="1" si="7">M13/(0.5*$D$4*$B$7^2*PI()*2*$B$5^2)</f>
        <v>2.889678968091897E-2</v>
      </c>
      <c r="R13" s="27">
        <f t="shared" ref="R13:R21" ca="1" si="8">M13*$B$9/(0.5*$D$4*$B$7^3*PI()*$B$5^2)</f>
        <v>6.1574928104598222E-3</v>
      </c>
    </row>
    <row r="14" spans="1:31" ht="24" customHeight="1" x14ac:dyDescent="0.3">
      <c r="A14" s="58">
        <v>2</v>
      </c>
      <c r="B14" s="59">
        <f t="shared" ref="B14:B21" si="9">B13+$D$9</f>
        <v>0.25</v>
      </c>
      <c r="C14" s="59">
        <f ca="1">FORECAST(B14,OFFSET(BLD!$E$4:$E$44,MATCH(B14,BLD!$C$4:'BLD'!$C$44)-1,0,2,1),OFFSET(BLD!$C$4:$C$44,MATCH(B14,BLD!$C$4:$C$44)-1,0,2,1))</f>
        <v>6.1595558617726605</v>
      </c>
      <c r="D14" s="59">
        <f ca="1">FORECAST(B14,OFFSET(BLD!$D$4:$D$44,MATCH(B14,BLD!$C$4:'BLD'!$C$44)-1,0,2,1),OFFSET(BLD!$C$4:$C$44,MATCH(B14,BLD!$C$4:$C$44)-1,0,2,1))</f>
        <v>9.2686200153406446</v>
      </c>
      <c r="E14" s="60">
        <f t="shared" ca="1" si="0"/>
        <v>0.13193240867394904</v>
      </c>
      <c r="G14" s="67">
        <v>20</v>
      </c>
      <c r="H14" s="69">
        <f t="shared" ca="1" si="1"/>
        <v>0.1103296164404165</v>
      </c>
      <c r="J14" s="26">
        <f t="shared" ca="1" si="2"/>
        <v>101965.57226089601</v>
      </c>
      <c r="K14" s="40">
        <f t="shared" ca="1" si="3"/>
        <v>35979.181534081792</v>
      </c>
      <c r="L14" s="40">
        <f t="shared" ref="L14:L21" ca="1" si="10">J14</f>
        <v>101965.57226089601</v>
      </c>
      <c r="M14" s="40">
        <f t="shared" ref="M14:M21" ca="1" si="11">K14*B14*$B$5</f>
        <v>802029.92516698421</v>
      </c>
      <c r="N14" s="40">
        <f t="shared" ca="1" si="4"/>
        <v>11435.47678048763</v>
      </c>
      <c r="O14" s="40">
        <f t="shared" ca="1" si="5"/>
        <v>4035.0785651573237</v>
      </c>
      <c r="P14" s="40">
        <f t="shared" ca="1" si="6"/>
        <v>0.27541250803419787</v>
      </c>
      <c r="Q14" s="40">
        <f t="shared" ca="1" si="7"/>
        <v>0.2166310337017846</v>
      </c>
      <c r="R14" s="27">
        <f t="shared" ca="1" si="8"/>
        <v>4.6160976609177354E-2</v>
      </c>
    </row>
    <row r="15" spans="1:31" ht="24" customHeight="1" x14ac:dyDescent="0.3">
      <c r="A15" s="58">
        <v>3</v>
      </c>
      <c r="B15" s="59">
        <f t="shared" si="9"/>
        <v>0.35</v>
      </c>
      <c r="C15" s="59">
        <f ca="1">FORECAST(B15,OFFSET(BLD!$E$4:$E$44,MATCH(B15,BLD!$C$4:'BLD'!$C$44)-1,0,2,1),OFFSET(BLD!$C$4:$C$44,MATCH(B15,BLD!$C$4:$C$44)-1,0,2,1))</f>
        <v>6.0632259471030068</v>
      </c>
      <c r="D15" s="59">
        <f ca="1">FORECAST(B15,OFFSET(BLD!$D$4:$D$44,MATCH(B15,BLD!$C$4:'BLD'!$C$44)-1,0,2,1),OFFSET(BLD!$C$4:$C$44,MATCH(B15,BLD!$C$4:$C$44)-1,0,2,1))</f>
        <v>6.6081512013178454</v>
      </c>
      <c r="E15" s="60">
        <f t="shared" ca="1" si="0"/>
        <v>9.2763646030788377E-2</v>
      </c>
      <c r="G15" s="67">
        <v>20</v>
      </c>
      <c r="H15" s="69">
        <f t="shared" ca="1" si="1"/>
        <v>0.18486985310595222</v>
      </c>
      <c r="J15" s="26">
        <f t="shared" ca="1" si="2"/>
        <v>222398.82546433082</v>
      </c>
      <c r="K15" s="40">
        <f t="shared" ca="1" si="3"/>
        <v>77978.356735396592</v>
      </c>
      <c r="L15" s="40">
        <f t="shared" ca="1" si="10"/>
        <v>222398.82546433082</v>
      </c>
      <c r="M15" s="40">
        <f t="shared" ca="1" si="11"/>
        <v>2433556.3548339303</v>
      </c>
      <c r="N15" s="40">
        <f t="shared" ca="1" si="4"/>
        <v>24942.110834211562</v>
      </c>
      <c r="O15" s="40">
        <f t="shared" ca="1" si="5"/>
        <v>8745.3016548232044</v>
      </c>
      <c r="P15" s="40">
        <f t="shared" ca="1" si="6"/>
        <v>0.60070685572449056</v>
      </c>
      <c r="Q15" s="40">
        <f t="shared" ca="1" si="7"/>
        <v>0.65731191839189851</v>
      </c>
      <c r="R15" s="27">
        <f t="shared" ca="1" si="8"/>
        <v>0.14006377374162882</v>
      </c>
    </row>
    <row r="16" spans="1:31" ht="24" customHeight="1" x14ac:dyDescent="0.3">
      <c r="A16" s="58">
        <v>4</v>
      </c>
      <c r="B16" s="59">
        <f t="shared" si="9"/>
        <v>0.44999999999999996</v>
      </c>
      <c r="C16" s="59">
        <f ca="1">FORECAST(B16,OFFSET(BLD!$E$4:$E$44,MATCH(B16,BLD!$C$4:'BLD'!$C$44)-1,0,2,1),OFFSET(BLD!$C$4:$C$44,MATCH(B16,BLD!$C$4:$C$44)-1,0,2,1))</f>
        <v>5.5277337812188581</v>
      </c>
      <c r="D16" s="59">
        <f ca="1">FORECAST(B16,OFFSET(BLD!$D$4:$D$44,MATCH(B16,BLD!$C$4:'BLD'!$C$44)-1,0,2,1),OFFSET(BLD!$C$4:$C$44,MATCH(B16,BLD!$C$4:$C$44)-1,0,2,1))</f>
        <v>4.935977649801444</v>
      </c>
      <c r="E16" s="60">
        <f t="shared" ca="1" si="0"/>
        <v>6.5777400606885666E-2</v>
      </c>
      <c r="G16" s="67">
        <v>20</v>
      </c>
      <c r="H16" s="69">
        <f t="shared" ca="1" si="1"/>
        <v>0.2114966191848949</v>
      </c>
      <c r="J16" s="26">
        <f t="shared" ca="1" si="2"/>
        <v>343071.5222629722</v>
      </c>
      <c r="K16" s="40">
        <f t="shared" ca="1" si="3"/>
        <v>118599.70996157438</v>
      </c>
      <c r="L16" s="40">
        <f t="shared" ca="1" si="10"/>
        <v>343071.5222629722</v>
      </c>
      <c r="M16" s="40">
        <f t="shared" ca="1" si="11"/>
        <v>4758777.7822951823</v>
      </c>
      <c r="N16" s="40">
        <f t="shared" ca="1" si="4"/>
        <v>38475.598576023622</v>
      </c>
      <c r="O16" s="40">
        <f t="shared" ca="1" si="5"/>
        <v>13301.001498505526</v>
      </c>
      <c r="P16" s="40">
        <f t="shared" ca="1" si="6"/>
        <v>0.926647948778207</v>
      </c>
      <c r="Q16" s="40">
        <f t="shared" ca="1" si="7"/>
        <v>1.2853622013181818</v>
      </c>
      <c r="R16" s="27">
        <f t="shared" ca="1" si="8"/>
        <v>0.27389231125143504</v>
      </c>
    </row>
    <row r="17" spans="1:18" ht="24" customHeight="1" x14ac:dyDescent="0.3">
      <c r="A17" s="58">
        <v>5</v>
      </c>
      <c r="B17" s="59">
        <f t="shared" si="9"/>
        <v>0.54999999999999993</v>
      </c>
      <c r="C17" s="59">
        <f ca="1">FORECAST(B17,OFFSET(BLD!$E$4:$E$44,MATCH(B17,BLD!$C$4:'BLD'!$C$44)-1,0,2,1),OFFSET(BLD!$C$4:$C$44,MATCH(B17,BLD!$C$4:$C$44)-1,0,2,1))</f>
        <v>4.8145956101261529</v>
      </c>
      <c r="D17" s="59">
        <f ca="1">FORECAST(B17,OFFSET(BLD!$D$4:$D$44,MATCH(B17,BLD!$C$4:'BLD'!$C$44)-1,0,2,1),OFFSET(BLD!$C$4:$C$44,MATCH(B17,BLD!$C$4:$C$44)-1,0,2,1))</f>
        <v>3.1725841770287992</v>
      </c>
      <c r="E17" s="60">
        <f t="shared" ca="1" si="0"/>
        <v>4.6874778421867928E-2</v>
      </c>
      <c r="G17" s="67">
        <v>20</v>
      </c>
      <c r="H17" s="69">
        <f t="shared" ca="1" si="1"/>
        <v>0.22517134551494722</v>
      </c>
      <c r="J17" s="26">
        <f t="shared" ca="1" si="2"/>
        <v>442382.12446843873</v>
      </c>
      <c r="K17" s="40">
        <f t="shared" ca="1" si="3"/>
        <v>147835.909560753</v>
      </c>
      <c r="L17" s="40">
        <f t="shared" ca="1" si="10"/>
        <v>442382.12446843873</v>
      </c>
      <c r="M17" s="40">
        <f t="shared" ca="1" si="11"/>
        <v>7250065.1915417556</v>
      </c>
      <c r="N17" s="40">
        <f t="shared" ca="1" si="4"/>
        <v>49613.319479222882</v>
      </c>
      <c r="O17" s="40">
        <f t="shared" ca="1" si="5"/>
        <v>16579.85213654902</v>
      </c>
      <c r="P17" s="40">
        <f t="shared" ca="1" si="6"/>
        <v>1.1948892916288212</v>
      </c>
      <c r="Q17" s="40">
        <f t="shared" ca="1" si="7"/>
        <v>1.9582674755209635</v>
      </c>
      <c r="R17" s="27">
        <f t="shared" ca="1" si="8"/>
        <v>0.41727880621423319</v>
      </c>
    </row>
    <row r="18" spans="1:18" ht="24" customHeight="1" x14ac:dyDescent="0.3">
      <c r="A18" s="58">
        <v>6</v>
      </c>
      <c r="B18" s="59">
        <f t="shared" si="9"/>
        <v>0.64999999999999991</v>
      </c>
      <c r="C18" s="59">
        <f ca="1">FORECAST(B18,OFFSET(BLD!$E$4:$E$44,MATCH(B18,BLD!$C$4:'BLD'!$C$44)-1,0,2,1),OFFSET(BLD!$C$4:$C$44,MATCH(B18,BLD!$C$4:$C$44)-1,0,2,1))</f>
        <v>4.0480805901467294</v>
      </c>
      <c r="D18" s="59">
        <f ca="1">FORECAST(B18,OFFSET(BLD!$D$4:$D$44,MATCH(B18,BLD!$C$4:'BLD'!$C$44)-1,0,2,1),OFFSET(BLD!$C$4:$C$44,MATCH(B18,BLD!$C$4:$C$44)-1,0,2,1))</f>
        <v>1.3238461091826661</v>
      </c>
      <c r="E18" s="60">
        <f t="shared" ca="1" si="0"/>
        <v>3.3348622152780331E-2</v>
      </c>
      <c r="G18" s="67">
        <v>20</v>
      </c>
      <c r="H18" s="69">
        <f t="shared" ca="1" si="1"/>
        <v>0.23421955089690216</v>
      </c>
      <c r="J18" s="26">
        <f t="shared" ca="1" si="2"/>
        <v>498330.09707296541</v>
      </c>
      <c r="K18" s="40">
        <f t="shared" ca="1" si="3"/>
        <v>156036.19693453182</v>
      </c>
      <c r="L18" s="40">
        <f t="shared" ca="1" si="10"/>
        <v>498330.09707296541</v>
      </c>
      <c r="M18" s="40">
        <f t="shared" ca="1" si="11"/>
        <v>9043530.2983119003</v>
      </c>
      <c r="N18" s="40">
        <f t="shared" ca="1" si="4"/>
        <v>55887.905375699862</v>
      </c>
      <c r="O18" s="40">
        <f t="shared" ca="1" si="5"/>
        <v>17499.517409610369</v>
      </c>
      <c r="P18" s="40">
        <f t="shared" ca="1" si="6"/>
        <v>1.3460066846153025</v>
      </c>
      <c r="Q18" s="40">
        <f t="shared" ca="1" si="7"/>
        <v>2.4426885523365289</v>
      </c>
      <c r="R18" s="27">
        <f t="shared" ca="1" si="8"/>
        <v>0.52050201303629251</v>
      </c>
    </row>
    <row r="19" spans="1:18" ht="24" customHeight="1" x14ac:dyDescent="0.3">
      <c r="A19" s="58">
        <v>7</v>
      </c>
      <c r="B19" s="59">
        <f t="shared" si="9"/>
        <v>0.74999999999999989</v>
      </c>
      <c r="C19" s="59">
        <f ca="1">FORECAST(B19,OFFSET(BLD!$E$4:$E$44,MATCH(B19,BLD!$C$4:'BLD'!$C$44)-1,0,2,1),OFFSET(BLD!$C$4:$C$44,MATCH(B19,BLD!$C$4:$C$44)-1,0,2,1))</f>
        <v>3.3082451718015955</v>
      </c>
      <c r="D19" s="59">
        <f ca="1">FORECAST(B19,OFFSET(BLD!$D$4:$D$44,MATCH(B19,BLD!$C$4:'BLD'!$C$44)-1,0,2,1),OFFSET(BLD!$C$4:$C$44,MATCH(B19,BLD!$C$4:$C$44)-1,0,2,1))</f>
        <v>-0.31712276338572032</v>
      </c>
      <c r="E19" s="60">
        <f t="shared" ca="1" si="0"/>
        <v>2.3619925624211949E-2</v>
      </c>
      <c r="G19" s="67">
        <v>20</v>
      </c>
      <c r="H19" s="69">
        <f t="shared" ca="1" si="1"/>
        <v>0.24254369287155833</v>
      </c>
      <c r="J19" s="26">
        <f t="shared" ca="1" si="2"/>
        <v>511288.71338038071</v>
      </c>
      <c r="K19" s="40">
        <f t="shared" ca="1" si="3"/>
        <v>147163.44207813364</v>
      </c>
      <c r="L19" s="40">
        <f t="shared" ca="1" si="10"/>
        <v>511288.71338038071</v>
      </c>
      <c r="M19" s="40">
        <f t="shared" ca="1" si="11"/>
        <v>9841481.6072541457</v>
      </c>
      <c r="N19" s="40">
        <f t="shared" ca="1" si="4"/>
        <v>57341.219005044601</v>
      </c>
      <c r="O19" s="40">
        <f t="shared" ca="1" si="5"/>
        <v>16504.434658741407</v>
      </c>
      <c r="P19" s="40">
        <f t="shared" ca="1" si="6"/>
        <v>1.3810083517343406</v>
      </c>
      <c r="Q19" s="40">
        <f t="shared" ca="1" si="7"/>
        <v>2.6582179378066044</v>
      </c>
      <c r="R19" s="27">
        <f t="shared" ca="1" si="8"/>
        <v>0.56642824415500859</v>
      </c>
    </row>
    <row r="20" spans="1:18" ht="24" customHeight="1" x14ac:dyDescent="0.3">
      <c r="A20" s="58">
        <v>8</v>
      </c>
      <c r="B20" s="59">
        <f t="shared" si="9"/>
        <v>0.84999999999999987</v>
      </c>
      <c r="C20" s="59">
        <f ca="1">FORECAST(B20,OFFSET(BLD!$E$4:$E$44,MATCH(B20,BLD!$C$4:'BLD'!$C$44)-1,0,2,1),OFFSET(BLD!$C$4:$C$44,MATCH(B20,BLD!$C$4:$C$44)-1,0,2,1))</f>
        <v>2.6340546170120884</v>
      </c>
      <c r="D20" s="59">
        <f ca="1">FORECAST(B20,OFFSET(BLD!$D$4:$D$44,MATCH(B20,BLD!$C$4:'BLD'!$C$44)-1,0,2,1),OFFSET(BLD!$C$4:$C$44,MATCH(B20,BLD!$C$4:$C$44)-1,0,2,1))</f>
        <v>-1.6645706060136884</v>
      </c>
      <c r="E20" s="60">
        <f t="shared" ca="1" si="0"/>
        <v>1.6593880257899801E-2</v>
      </c>
      <c r="G20" s="67">
        <v>20</v>
      </c>
      <c r="H20" s="69">
        <f t="shared" ca="1" si="1"/>
        <v>0.25257772417584384</v>
      </c>
      <c r="J20" s="26">
        <f t="shared" ca="1" si="2"/>
        <v>508494.62594108755</v>
      </c>
      <c r="K20" s="40">
        <f t="shared" ca="1" si="3"/>
        <v>135449.33767807865</v>
      </c>
      <c r="L20" s="40">
        <f t="shared" ca="1" si="10"/>
        <v>508494.62594108755</v>
      </c>
      <c r="M20" s="40">
        <f t="shared" ca="1" si="11"/>
        <v>10265854.296893025</v>
      </c>
      <c r="N20" s="40">
        <f t="shared" ca="1" si="4"/>
        <v>57027.861061513082</v>
      </c>
      <c r="O20" s="40">
        <f t="shared" ca="1" si="5"/>
        <v>15190.693501792011</v>
      </c>
      <c r="P20" s="40">
        <f t="shared" ca="1" si="6"/>
        <v>1.3734614257252988</v>
      </c>
      <c r="Q20" s="40">
        <f t="shared" ca="1" si="7"/>
        <v>2.772842456850749</v>
      </c>
      <c r="R20" s="27">
        <f t="shared" ca="1" si="8"/>
        <v>0.59085309064177205</v>
      </c>
    </row>
    <row r="21" spans="1:18" ht="24" customHeight="1" x14ac:dyDescent="0.3">
      <c r="A21" s="55" t="s">
        <v>3</v>
      </c>
      <c r="B21" s="61">
        <f t="shared" si="9"/>
        <v>0.94999999999999984</v>
      </c>
      <c r="C21" s="61">
        <f ca="1">FORECAST(B21,OFFSET(BLD!$E$4:$E$44,MATCH(B21,BLD!$C$4:'BLD'!$C$44)-1,0,2,1),OFFSET(BLD!$C$4:$C$44,MATCH(B21,BLD!$C$4:$C$44)-1,0,2,1))</f>
        <v>1.9269253386549909</v>
      </c>
      <c r="D21" s="61">
        <f ca="1">FORECAST(B21,OFFSET(BLD!$D$4:$D$44,MATCH(B21,BLD!$C$4:'BLD'!$C$44)-1,0,2,1),OFFSET(BLD!$C$4:$C$44,MATCH(B21,BLD!$C$4:$C$44)-1,0,2,1))</f>
        <v>-2.9160993382927245</v>
      </c>
      <c r="E21" s="62">
        <f t="shared" ca="1" si="0"/>
        <v>1.0861339380574597E-2</v>
      </c>
      <c r="G21" s="68">
        <v>20</v>
      </c>
      <c r="H21" s="70">
        <f t="shared" ca="1" si="1"/>
        <v>0.26638348580107829</v>
      </c>
      <c r="J21" s="28">
        <f t="shared" ca="1" si="2"/>
        <v>452253.16880907456</v>
      </c>
      <c r="K21" s="29">
        <f t="shared" ca="1" si="3"/>
        <v>110897.29368621419</v>
      </c>
      <c r="L21" s="29">
        <f t="shared" ca="1" si="10"/>
        <v>452253.16880907456</v>
      </c>
      <c r="M21" s="29">
        <f t="shared" ca="1" si="11"/>
        <v>9393854.6843837239</v>
      </c>
      <c r="N21" s="29">
        <f t="shared" ca="1" si="4"/>
        <v>50720.360766331847</v>
      </c>
      <c r="O21" s="29">
        <f t="shared" ca="1" si="5"/>
        <v>12437.172653950405</v>
      </c>
      <c r="P21" s="29">
        <f t="shared" ca="1" si="6"/>
        <v>1.221551320963735</v>
      </c>
      <c r="Q21" s="29">
        <f t="shared" ca="1" si="7"/>
        <v>2.537312370606005</v>
      </c>
      <c r="R21" s="30">
        <f t="shared" ca="1" si="8"/>
        <v>0.5406649960917177</v>
      </c>
    </row>
    <row r="22" spans="1:18" ht="24" customHeight="1" x14ac:dyDescent="0.3">
      <c r="A22" s="18"/>
    </row>
    <row r="23" spans="1:18" ht="24" customHeight="1" x14ac:dyDescent="0.3">
      <c r="A23" s="101" t="s">
        <v>29</v>
      </c>
      <c r="B23" s="102"/>
      <c r="C23" s="102"/>
      <c r="D23" s="103"/>
    </row>
    <row r="24" spans="1:18" ht="24" customHeight="1" x14ac:dyDescent="0.3">
      <c r="A24" s="33" t="s">
        <v>41</v>
      </c>
      <c r="B24" s="34" t="s">
        <v>51</v>
      </c>
      <c r="C24" s="34" t="s">
        <v>7</v>
      </c>
      <c r="D24" s="35" t="s">
        <v>8</v>
      </c>
    </row>
    <row r="25" spans="1:18" ht="24" customHeight="1" x14ac:dyDescent="0.3">
      <c r="A25" s="19">
        <f t="shared" ref="A25:A33" si="12">B13*$B$5*$B$9/$B$7</f>
        <v>1.4249999999999998</v>
      </c>
      <c r="B25" s="41">
        <f t="shared" ref="B25:B33" ca="1" si="13">G13-(D13+$D$6)</f>
        <v>6.0122540082263392</v>
      </c>
      <c r="C25" s="42">
        <f ca="1">FORECAST(B25,OFFSET(ARFL!$B$3:$B$107,MATCH(B25,ARFL!$A$3:'ARFL'!$A$107)-1,0,2,1),OFFSET(ARFL!$A$3:$A$107,MATCH(B25,ARFL!$A$3:'ARFL'!$A$107)-1,0,2,1))</f>
        <v>1.0669834775287539</v>
      </c>
      <c r="D25" s="20">
        <f ca="1">FORECAST(B25,OFFSET(ARFL!$C$3:$C$107,MATCH(B25,ARFL!$A$3:'ARFL'!$A$107)-1,0,2,1),OFFSET(ARFL!$A$3:$A$107,MATCH(B25,ARFL!$A$3:'ARFL'!$A$107)-1,0,2,1))</f>
        <v>1.0909190506169755E-2</v>
      </c>
    </row>
    <row r="26" spans="1:18" ht="24" customHeight="1" x14ac:dyDescent="0.3">
      <c r="A26" s="19">
        <f t="shared" si="12"/>
        <v>2.375</v>
      </c>
      <c r="B26" s="41">
        <f t="shared" ca="1" si="13"/>
        <v>10.731379984659355</v>
      </c>
      <c r="C26" s="42">
        <f ca="1">FORECAST(B26,OFFSET(ARFL!$B$3:$B$107,MATCH(B26,ARFL!$A$3:'ARFL'!$A$107)-1,0,2,1),OFFSET(ARFL!$A$3:$A$107,MATCH(B26,ARFL!$A$3:'ARFL'!$A$107)-1,0,2,1))</f>
        <v>1.5697303045625817</v>
      </c>
      <c r="D26" s="20">
        <f ca="1">FORECAST(B26,OFFSET(ARFL!$C$3:$C$107,MATCH(B26,ARFL!$A$3:'ARFL'!$A$107)-1,0,2,1),OFFSET(ARFL!$A$3:$A$107,MATCH(B26,ARFL!$A$3:'ARFL'!$A$107)-1,0,2,1))</f>
        <v>1.5460500977756066E-2</v>
      </c>
    </row>
    <row r="27" spans="1:18" ht="24" customHeight="1" x14ac:dyDescent="0.3">
      <c r="A27" s="19">
        <f t="shared" si="12"/>
        <v>3.3250000000000002</v>
      </c>
      <c r="B27" s="41">
        <f t="shared" ca="1" si="13"/>
        <v>13.391848798682155</v>
      </c>
      <c r="C27" s="42">
        <f ca="1">FORECAST(B27,OFFSET(ARFL!$B$3:$B$107,MATCH(B27,ARFL!$A$3:'ARFL'!$A$107)-1,0,2,1),OFFSET(ARFL!$A$3:$A$107,MATCH(B27,ARFL!$A$3:'ARFL'!$A$107)-1,0,2,1))</f>
        <v>1.7732939993998089</v>
      </c>
      <c r="D27" s="20">
        <f ca="1">FORECAST(B27,OFFSET(ARFL!$C$3:$C$107,MATCH(B27,ARFL!$A$3:'ARFL'!$A$107)-1,0,2,1),OFFSET(ARFL!$A$3:$A$107,MATCH(B27,ARFL!$A$3:'ARFL'!$A$107)-1,0,2,1))</f>
        <v>2.098839931650771E-2</v>
      </c>
    </row>
    <row r="28" spans="1:18" ht="24" customHeight="1" x14ac:dyDescent="0.3">
      <c r="A28" s="19">
        <f t="shared" si="12"/>
        <v>4.2749999999999995</v>
      </c>
      <c r="B28" s="41">
        <f t="shared" ca="1" si="13"/>
        <v>15.064022350198556</v>
      </c>
      <c r="C28" s="42">
        <f ca="1">FORECAST(B28,OFFSET(ARFL!$B$3:$B$107,MATCH(B28,ARFL!$A$3:'ARFL'!$A$107)-1,0,2,1),OFFSET(ARFL!$A$3:$A$107,MATCH(B28,ARFL!$A$3:'ARFL'!$A$107)-1,0,2,1))</f>
        <v>1.8122152402303575</v>
      </c>
      <c r="D28" s="20">
        <f ca="1">FORECAST(B28,OFFSET(ARFL!$C$3:$C$107,MATCH(B28,ARFL!$A$3:'ARFL'!$A$107)-1,0,2,1),OFFSET(ARFL!$A$3:$A$107,MATCH(B28,ARFL!$A$3:'ARFL'!$A$107)-1,0,2,1))</f>
        <v>2.9409743041270753E-2</v>
      </c>
    </row>
    <row r="29" spans="1:18" ht="24" customHeight="1" x14ac:dyDescent="0.3">
      <c r="A29" s="19">
        <f t="shared" si="12"/>
        <v>5.2249999999999996</v>
      </c>
      <c r="B29" s="41">
        <f t="shared" ca="1" si="13"/>
        <v>16.827415822971201</v>
      </c>
      <c r="C29" s="42">
        <f ca="1">FORECAST(B29,OFFSET(ARFL!$B$3:$B$107,MATCH(B29,ARFL!$A$3:'ARFL'!$A$107)-1,0,2,1),OFFSET(ARFL!$A$3:$A$107,MATCH(B29,ARFL!$A$3:'ARFL'!$A$107)-1,0,2,1))</f>
        <v>1.7893257500577555</v>
      </c>
      <c r="D29" s="20">
        <f ca="1">FORECAST(B29,OFFSET(ARFL!$C$3:$C$107,MATCH(B29,ARFL!$A$3:'ARFL'!$A$107)-1,0,2,1),OFFSET(ARFL!$A$3:$A$107,MATCH(B29,ARFL!$A$3:'ARFL'!$A$107)-1,0,2,1))</f>
        <v>4.752164180652807E-2</v>
      </c>
    </row>
    <row r="30" spans="1:18" ht="24" customHeight="1" x14ac:dyDescent="0.3">
      <c r="A30" s="19">
        <f t="shared" si="12"/>
        <v>6.174999999999998</v>
      </c>
      <c r="B30" s="41">
        <f t="shared" ca="1" si="13"/>
        <v>18.676153890817332</v>
      </c>
      <c r="C30" s="42">
        <f ca="1">FORECAST(B30,OFFSET(ARFL!$B$3:$B$107,MATCH(B30,ARFL!$A$3:'ARFL'!$A$107)-1,0,2,1),OFFSET(ARFL!$A$3:$A$107,MATCH(B30,ARFL!$A$3:'ARFL'!$A$107)-1,0,2,1))</f>
        <v>1.7046674582467625</v>
      </c>
      <c r="D30" s="20">
        <f ca="1">FORECAST(B30,OFFSET(ARFL!$C$3:$C$107,MATCH(B30,ARFL!$A$3:'ARFL'!$A$107)-1,0,2,1),OFFSET(ARFL!$A$3:$A$107,MATCH(B30,ARFL!$A$3:'ARFL'!$A$107)-1,0,2,1))</f>
        <v>7.7817385481856238E-2</v>
      </c>
    </row>
    <row r="31" spans="1:18" ht="24" customHeight="1" x14ac:dyDescent="0.3">
      <c r="A31" s="19">
        <f t="shared" si="12"/>
        <v>7.1249999999999991</v>
      </c>
      <c r="B31" s="41">
        <f t="shared" ca="1" si="13"/>
        <v>20.317122763385719</v>
      </c>
      <c r="C31" s="42">
        <f ca="1">FORECAST(B31,OFFSET(ARFL!$B$3:$B$107,MATCH(B31,ARFL!$A$3:'ARFL'!$A$107)-1,0,2,1),OFFSET(ARFL!$A$3:$A$107,MATCH(B31,ARFL!$A$3:'ARFL'!$A$107)-1,0,2,1))</f>
        <v>1.5941931035302013</v>
      </c>
      <c r="D31" s="20">
        <f ca="1">FORECAST(B31,OFFSET(ARFL!$C$3:$C$107,MATCH(B31,ARFL!$A$3:'ARFL'!$A$107)-1,0,2,1),OFFSET(ARFL!$A$3:$A$107,MATCH(B31,ARFL!$A$3:'ARFL'!$A$107)-1,0,2,1))</f>
        <v>0.10987416754405294</v>
      </c>
    </row>
    <row r="32" spans="1:18" ht="24" customHeight="1" x14ac:dyDescent="0.3">
      <c r="A32" s="19">
        <f t="shared" si="12"/>
        <v>8.0749999999999993</v>
      </c>
      <c r="B32" s="41">
        <f t="shared" ca="1" si="13"/>
        <v>21.66457060601369</v>
      </c>
      <c r="C32" s="42">
        <f ca="1">FORECAST(B32,OFFSET(ARFL!$B$3:$B$107,MATCH(B32,ARFL!$A$3:'ARFL'!$A$107)-1,0,2,1),OFFSET(ARFL!$A$3:$A$107,MATCH(B32,ARFL!$A$3:'ARFL'!$A$107)-1,0,2,1))</f>
        <v>1.5393519763352428</v>
      </c>
      <c r="D32" s="20">
        <f ca="1">FORECAST(B32,OFFSET(ARFL!$C$3:$C$107,MATCH(B32,ARFL!$A$3:'ARFL'!$A$107)-1,0,2,1),OFFSET(ARFL!$A$3:$A$107,MATCH(B32,ARFL!$A$3:'ARFL'!$A$107)-1,0,2,1))</f>
        <v>0.13695786918087516</v>
      </c>
    </row>
    <row r="33" spans="1:6" ht="24" customHeight="1" x14ac:dyDescent="0.3">
      <c r="A33" s="21">
        <f t="shared" si="12"/>
        <v>9.0249999999999986</v>
      </c>
      <c r="B33" s="43">
        <f t="shared" ca="1" si="13"/>
        <v>22.916099338292724</v>
      </c>
      <c r="C33" s="22">
        <f ca="1">FORECAST(B33,OFFSET(ARFL!$B$3:$B$107,MATCH(B33,ARFL!$A$3:'ARFL'!$A$107)-1,0,2,1),OFFSET(ARFL!$A$3:$A$107,MATCH(B33,ARFL!$A$3:'ARFL'!$A$107)-1,0,2,1))</f>
        <v>1.4877276824277668</v>
      </c>
      <c r="D33" s="23">
        <f ca="1">FORECAST(B33,OFFSET(ARFL!$C$3:$C$107,MATCH(B33,ARFL!$A$3:'ARFL'!$A$107)-1,0,2,1),OFFSET(ARFL!$A$3:$A$107,MATCH(B33,ARFL!$A$3:'ARFL'!$A$107)-1,0,2,1))</f>
        <v>0.16220520663351301</v>
      </c>
    </row>
    <row r="34" spans="1:6" ht="24" customHeight="1" x14ac:dyDescent="0.3">
      <c r="A34" s="18"/>
    </row>
    <row r="35" spans="1:6" ht="24" customHeight="1" x14ac:dyDescent="0.3">
      <c r="A35" s="85" t="s">
        <v>28</v>
      </c>
      <c r="B35" s="86"/>
      <c r="C35" s="86"/>
      <c r="D35" s="86"/>
      <c r="E35" s="86"/>
      <c r="F35" s="87"/>
    </row>
    <row r="36" spans="1:6" ht="24" customHeight="1" x14ac:dyDescent="0.3">
      <c r="A36" s="24" t="s">
        <v>58</v>
      </c>
      <c r="B36" s="39" t="s">
        <v>59</v>
      </c>
      <c r="C36" s="39" t="s">
        <v>22</v>
      </c>
      <c r="D36" s="39" t="s">
        <v>23</v>
      </c>
      <c r="E36" s="39" t="s">
        <v>42</v>
      </c>
      <c r="F36" s="25" t="s">
        <v>43</v>
      </c>
    </row>
    <row r="37" spans="1:6" ht="24" customHeight="1" x14ac:dyDescent="0.3">
      <c r="A37" s="26">
        <f t="shared" ref="A37:A45" ca="1" si="14">C25*COS(G13*PI()/180)+D25*SIN(G13*PI()/180)</f>
        <v>1.0063676632347445</v>
      </c>
      <c r="B37" s="40">
        <f t="shared" ref="B37:B45" ca="1" si="15">C25*SIN(G13*PI()/180)-D25*COS(G13*PI()/180)</f>
        <v>0.35467855609310939</v>
      </c>
      <c r="C37" s="40">
        <f ca="1">E13*A37/(4*TipLoss!E4*(SIN(G13*PI()/180)^2))</f>
        <v>0.43012674425974823</v>
      </c>
      <c r="D37" s="40">
        <f ca="1">E13*B37/(4*TipLoss!E4*(SIN(G13*PI()/180)*COS(G13*PI()/180)))</f>
        <v>5.5174775311822521E-2</v>
      </c>
      <c r="E37" s="40">
        <f ca="1">C37/(C37+1)</f>
        <v>0.30076127587026369</v>
      </c>
      <c r="F37" s="27">
        <f ca="1">D37/(1-D37)</f>
        <v>5.8396805959569892E-2</v>
      </c>
    </row>
    <row r="38" spans="1:6" ht="24" customHeight="1" x14ac:dyDescent="0.3">
      <c r="A38" s="26">
        <f t="shared" ca="1" si="14"/>
        <v>1.4803517865817732</v>
      </c>
      <c r="B38" s="40">
        <f t="shared" ca="1" si="15"/>
        <v>0.52235126506668905</v>
      </c>
      <c r="C38" s="40">
        <f ca="1">E14*A38/(4*TipLoss!E5*(SIN(G14*PI()/180)^2))</f>
        <v>0.41740110743654907</v>
      </c>
      <c r="D38" s="40">
        <f ca="1">E14*B38/(4*TipLoss!E5*(SIN(G14*PI()/180)*COS(G14*PI()/180)))</f>
        <v>5.3606466804718443E-2</v>
      </c>
      <c r="E38" s="40">
        <f t="shared" ref="E38:E45" ca="1" si="16">C38/(C38+1)</f>
        <v>0.29448340716442845</v>
      </c>
      <c r="F38" s="27">
        <f t="shared" ref="F38:F45" ca="1" si="17">D38/(1-D38)</f>
        <v>5.6642892120921891E-2</v>
      </c>
    </row>
    <row r="39" spans="1:6" ht="24" customHeight="1" x14ac:dyDescent="0.3">
      <c r="A39" s="26">
        <f t="shared" ca="1" si="14"/>
        <v>1.67352974106234</v>
      </c>
      <c r="B39" s="40">
        <f t="shared" ca="1" si="15"/>
        <v>0.58677962387344063</v>
      </c>
      <c r="C39" s="40">
        <f ca="1">E15*A39/(4*TipLoss!E6*(SIN(G15*PI()/180)^2))</f>
        <v>0.3318395385641455</v>
      </c>
      <c r="D39" s="40">
        <f ca="1">E15*B39/(4*TipLoss!E6*(SIN(G15*PI()/180)*COS(G15*PI()/180)))</f>
        <v>4.2348261736694336E-2</v>
      </c>
      <c r="E39" s="40">
        <f t="shared" ca="1" si="16"/>
        <v>0.24915879800497684</v>
      </c>
      <c r="F39" s="27">
        <f t="shared" ca="1" si="17"/>
        <v>4.4220941752262252E-2</v>
      </c>
    </row>
    <row r="40" spans="1:6" ht="24" customHeight="1" x14ac:dyDescent="0.3">
      <c r="A40" s="26">
        <f t="shared" ca="1" si="14"/>
        <v>1.7129840130503757</v>
      </c>
      <c r="B40" s="40">
        <f t="shared" ca="1" si="15"/>
        <v>0.5921779976854562</v>
      </c>
      <c r="C40" s="40">
        <f ca="1">E16*A40/(4*TipLoss!E7*(SIN(G16*PI()/180)^2))</f>
        <v>0.24152824006743973</v>
      </c>
      <c r="D40" s="40">
        <f ca="1">E16*B40/(4*TipLoss!E7*(SIN(G16*PI()/180)*COS(G16*PI()/180)))</f>
        <v>3.0390142913515109E-2</v>
      </c>
      <c r="E40" s="40">
        <f t="shared" ca="1" si="16"/>
        <v>0.19454107629023398</v>
      </c>
      <c r="F40" s="27">
        <f t="shared" ca="1" si="17"/>
        <v>3.1342650542799139E-2</v>
      </c>
    </row>
    <row r="41" spans="1:6" ht="24" customHeight="1" x14ac:dyDescent="0.3">
      <c r="A41" s="26">
        <f t="shared" ca="1" si="14"/>
        <v>1.6976695622532234</v>
      </c>
      <c r="B41" s="40">
        <f t="shared" ca="1" si="15"/>
        <v>0.56732971335783766</v>
      </c>
      <c r="C41" s="40">
        <f ca="1">E17*A41/(4*TipLoss!E8*(SIN(G17*PI()/180)^2))</f>
        <v>0.17311767870183462</v>
      </c>
      <c r="D41" s="40">
        <f ca="1">E17*B41/(4*TipLoss!E8*(SIN(G17*PI()/180)*COS(G17*PI()/180)))</f>
        <v>2.1056668308079819E-2</v>
      </c>
      <c r="E41" s="40">
        <f t="shared" ca="1" si="16"/>
        <v>0.14757059913495263</v>
      </c>
      <c r="F41" s="27">
        <f t="shared" ca="1" si="17"/>
        <v>2.1509588580257564E-2</v>
      </c>
    </row>
    <row r="42" spans="1:6" ht="24" customHeight="1" x14ac:dyDescent="0.3">
      <c r="A42" s="26">
        <f t="shared" ca="1" si="14"/>
        <v>1.6284785447440866</v>
      </c>
      <c r="B42" s="40">
        <f t="shared" ca="1" si="15"/>
        <v>0.5099061854860083</v>
      </c>
      <c r="C42" s="40">
        <f ca="1">E18*A42/(4*TipLoss!E9*(SIN(G18*PI()/180)^2))</f>
        <v>0.12348610940517067</v>
      </c>
      <c r="D42" s="40">
        <f ca="1">E18*B42/(4*TipLoss!E9*(SIN(G18*PI()/180)*COS(G18*PI()/180)))</f>
        <v>1.4073179116530011E-2</v>
      </c>
      <c r="E42" s="40">
        <f t="shared" ca="1" si="16"/>
        <v>0.10991333882227555</v>
      </c>
      <c r="F42" s="27">
        <f t="shared" ca="1" si="17"/>
        <v>1.427406052704734E-2</v>
      </c>
    </row>
    <row r="43" spans="1:6" ht="24" customHeight="1" x14ac:dyDescent="0.3">
      <c r="A43" s="26">
        <f t="shared" ca="1" si="14"/>
        <v>1.5356306740263215</v>
      </c>
      <c r="B43" s="40">
        <f t="shared" ca="1" si="15"/>
        <v>0.44199820930205097</v>
      </c>
      <c r="C43" s="40">
        <f ca="1">E19*A43/(4*TipLoss!E10*(SIN(G19*PI()/180)^2))</f>
        <v>9.1081754820550864E-2</v>
      </c>
      <c r="D43" s="40">
        <f ca="1">E19*B43/(4*TipLoss!E10*(SIN(G19*PI()/180)*COS(G19*PI()/180)))</f>
        <v>9.5418149304669613E-3</v>
      </c>
      <c r="E43" s="40">
        <f t="shared" ca="1" si="16"/>
        <v>8.34783960213238E-2</v>
      </c>
      <c r="F43" s="27">
        <f t="shared" ca="1" si="17"/>
        <v>9.6337382782061588E-3</v>
      </c>
    </row>
    <row r="44" spans="1:6" ht="24" customHeight="1" x14ac:dyDescent="0.3">
      <c r="A44" s="26">
        <f t="shared" ca="1" si="14"/>
        <v>1.493360043001253</v>
      </c>
      <c r="B44" s="40">
        <f t="shared" ca="1" si="15"/>
        <v>0.39779108454700096</v>
      </c>
      <c r="C44" s="40">
        <f ca="1">E20*A44/(4*TipLoss!E11*(SIN(G20*PI()/180)^2))</f>
        <v>7.6218493632980611E-2</v>
      </c>
      <c r="D44" s="40">
        <f ca="1">E20*B44/(4*TipLoss!E11*(SIN(G20*PI()/180)*COS(G20*PI()/180)))</f>
        <v>7.389528828251269E-3</v>
      </c>
      <c r="E44" s="40">
        <f t="shared" ca="1" si="16"/>
        <v>7.0820650345535835E-2</v>
      </c>
      <c r="F44" s="27">
        <f t="shared" ca="1" si="17"/>
        <v>7.4445404747021642E-3</v>
      </c>
    </row>
    <row r="45" spans="1:6" ht="24" customHeight="1" x14ac:dyDescent="0.3">
      <c r="A45" s="28">
        <f t="shared" ca="1" si="14"/>
        <v>1.4534841729372576</v>
      </c>
      <c r="B45" s="29">
        <f t="shared" ca="1" si="15"/>
        <v>0.35640979944694406</v>
      </c>
      <c r="C45" s="29">
        <f ca="1">E21*A45/(4*TipLoss!E12*(SIN(G21*PI()/180)^2))</f>
        <v>8.1079885801817769E-2</v>
      </c>
      <c r="D45" s="29">
        <f ca="1">E21*B45/(4*TipLoss!E12*(SIN(G21*PI()/180)*COS(G21*PI()/180)))</f>
        <v>7.2363293667505732E-3</v>
      </c>
      <c r="E45" s="29">
        <f t="shared" ca="1" si="16"/>
        <v>7.4998977288049579E-2</v>
      </c>
      <c r="F45" s="30">
        <f t="shared" ca="1" si="17"/>
        <v>7.2890755179777786E-3</v>
      </c>
    </row>
    <row r="46" spans="1:6" ht="24" customHeight="1" x14ac:dyDescent="0.3">
      <c r="A46" s="18"/>
    </row>
    <row r="47" spans="1:6" ht="24" customHeight="1" x14ac:dyDescent="0.3">
      <c r="A47" s="18"/>
    </row>
    <row r="48" spans="1:6" ht="24" customHeight="1" x14ac:dyDescent="0.3">
      <c r="A48" s="18"/>
    </row>
    <row r="49" spans="1:1" ht="24" customHeight="1" x14ac:dyDescent="0.3">
      <c r="A49" s="18"/>
    </row>
    <row r="50" spans="1:1" ht="24" customHeight="1" x14ac:dyDescent="0.3">
      <c r="A50" s="18"/>
    </row>
    <row r="51" spans="1:1" ht="24" customHeight="1" x14ac:dyDescent="0.3">
      <c r="A51" s="18"/>
    </row>
    <row r="52" spans="1:1" ht="24" customHeight="1" x14ac:dyDescent="0.3">
      <c r="A52" s="18"/>
    </row>
    <row r="53" spans="1:1" ht="24" customHeight="1" x14ac:dyDescent="0.3">
      <c r="A53" s="18"/>
    </row>
    <row r="54" spans="1:1" ht="24" customHeight="1" x14ac:dyDescent="0.3">
      <c r="A54" s="18"/>
    </row>
    <row r="55" spans="1:1" ht="24" customHeight="1" x14ac:dyDescent="0.3">
      <c r="A55" s="18"/>
    </row>
  </sheetData>
  <sheetProtection algorithmName="SHA-512" hashValue="yDflR4EBc1EEFR+VAd/ruHaHDkPvEAnfkKuZDBcBAzeUVfr9ZBC/zWGaAYC5bG6xs9jeC7DYnDc5t0k9zAqkOw==" saltValue="OnEY9SuKX3gL1fPG9Faa5w==" spinCount="100000" sheet="1" objects="1" scenarios="1"/>
  <mergeCells count="8">
    <mergeCell ref="A35:F35"/>
    <mergeCell ref="G11:H11"/>
    <mergeCell ref="A3:C3"/>
    <mergeCell ref="D7:D8"/>
    <mergeCell ref="J11:R11"/>
    <mergeCell ref="A11:E11"/>
    <mergeCell ref="A23:D23"/>
    <mergeCell ref="G3:I3"/>
  </mergeCells>
  <phoneticPr fontId="1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olve">
                <anchor moveWithCells="1" sizeWithCells="1">
                  <from>
                    <xdr:col>4</xdr:col>
                    <xdr:colOff>127000</xdr:colOff>
                    <xdr:row>2</xdr:row>
                    <xdr:rowOff>76200</xdr:rowOff>
                  </from>
                  <to>
                    <xdr:col>5</xdr:col>
                    <xdr:colOff>723900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set">
                <anchor moveWithCells="1" sizeWithCells="1">
                  <from>
                    <xdr:col>4</xdr:col>
                    <xdr:colOff>127000</xdr:colOff>
                    <xdr:row>5</xdr:row>
                    <xdr:rowOff>69850</xdr:rowOff>
                  </from>
                  <to>
                    <xdr:col>5</xdr:col>
                    <xdr:colOff>717550</xdr:colOff>
                    <xdr:row>7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98E4-849D-48D0-9BF3-446583FBDFFB}">
  <sheetPr codeName="Sheet5"/>
  <dimension ref="A1:G26"/>
  <sheetViews>
    <sheetView topLeftCell="A2" workbookViewId="0">
      <selection activeCell="D18" sqref="D18"/>
    </sheetView>
  </sheetViews>
  <sheetFormatPr defaultColWidth="12.75" defaultRowHeight="24" customHeight="1" x14ac:dyDescent="0.35"/>
  <cols>
    <col min="1" max="1" width="20.25" style="72" customWidth="1"/>
    <col min="2" max="16384" width="12.75" style="72"/>
  </cols>
  <sheetData>
    <row r="1" spans="1:7" ht="24" customHeight="1" x14ac:dyDescent="0.35">
      <c r="A1" s="9" t="s">
        <v>69</v>
      </c>
      <c r="B1" s="71"/>
      <c r="C1" s="71"/>
      <c r="D1" s="71"/>
      <c r="E1" s="71"/>
    </row>
    <row r="2" spans="1:7" ht="24" customHeight="1" x14ac:dyDescent="0.35">
      <c r="A2" s="73" t="s">
        <v>4</v>
      </c>
      <c r="B2" s="73">
        <f>BLD!B2</f>
        <v>2.8</v>
      </c>
      <c r="C2" s="107" t="s">
        <v>5</v>
      </c>
      <c r="D2" s="107"/>
      <c r="E2" s="73">
        <f>BLD!D2</f>
        <v>89.165999999999997</v>
      </c>
      <c r="F2" s="74"/>
      <c r="G2" s="73"/>
    </row>
    <row r="3" spans="1:7" s="18" customFormat="1" ht="24" customHeight="1" x14ac:dyDescent="0.3">
      <c r="A3" s="78" t="s">
        <v>76</v>
      </c>
      <c r="B3" s="78" t="s">
        <v>65</v>
      </c>
      <c r="C3" s="18" t="s">
        <v>50</v>
      </c>
      <c r="D3" s="18" t="s">
        <v>64</v>
      </c>
      <c r="E3" s="78" t="s">
        <v>66</v>
      </c>
      <c r="F3" s="75" t="s">
        <v>72</v>
      </c>
      <c r="G3" s="18" t="s">
        <v>70</v>
      </c>
    </row>
    <row r="4" spans="1:7" ht="24" customHeight="1" x14ac:dyDescent="0.35">
      <c r="A4" s="79">
        <v>4</v>
      </c>
      <c r="B4" s="80">
        <v>7.7</v>
      </c>
      <c r="C4" s="76">
        <f t="shared" ref="C4:C26" si="0">B4*A4/$E$2</f>
        <v>0.34542314335060453</v>
      </c>
      <c r="D4" s="76">
        <f>C4*60/(2*PI())</f>
        <v>3.2985480433553445</v>
      </c>
      <c r="E4" s="80">
        <v>0</v>
      </c>
      <c r="F4" s="77">
        <v>0</v>
      </c>
      <c r="G4" s="72">
        <f>F4*1000000/(0.5*Performance!$D$4*A4^3*PI()*$E$2^2)</f>
        <v>0</v>
      </c>
    </row>
    <row r="5" spans="1:7" ht="24" customHeight="1" x14ac:dyDescent="0.35">
      <c r="A5" s="79">
        <v>5</v>
      </c>
      <c r="B5" s="80">
        <v>7.7</v>
      </c>
      <c r="C5" s="76">
        <f t="shared" si="0"/>
        <v>0.43177892918825561</v>
      </c>
      <c r="D5" s="76">
        <f t="shared" ref="D5:D26" si="1">C5*60/(2*PI())</f>
        <v>4.1231850541941801</v>
      </c>
      <c r="E5" s="80">
        <v>0</v>
      </c>
      <c r="F5" s="77">
        <v>0</v>
      </c>
      <c r="G5" s="72">
        <f>F5*1000000/(0.5*Performance!$D$4*A5^3*PI()*$E$2^2)</f>
        <v>0</v>
      </c>
    </row>
    <row r="6" spans="1:7" ht="24" customHeight="1" x14ac:dyDescent="0.35">
      <c r="A6" s="79">
        <v>6</v>
      </c>
      <c r="B6" s="80">
        <v>7.7</v>
      </c>
      <c r="C6" s="76">
        <f t="shared" si="0"/>
        <v>0.5181347150259068</v>
      </c>
      <c r="D6" s="76">
        <f t="shared" si="1"/>
        <v>4.9478220650330167</v>
      </c>
      <c r="E6" s="80">
        <v>0</v>
      </c>
      <c r="F6" s="77">
        <v>0</v>
      </c>
      <c r="G6" s="72">
        <f>F6*1000000/(0.5*Performance!$D$4*A6^3*PI()*$E$2^2)</f>
        <v>0</v>
      </c>
    </row>
    <row r="7" spans="1:7" ht="24" customHeight="1" x14ac:dyDescent="0.35">
      <c r="A7" s="79">
        <v>7</v>
      </c>
      <c r="B7" s="80">
        <v>7.7</v>
      </c>
      <c r="C7" s="76">
        <f t="shared" si="0"/>
        <v>0.60449050086355782</v>
      </c>
      <c r="D7" s="76">
        <f t="shared" si="1"/>
        <v>5.7724590758718524</v>
      </c>
      <c r="E7" s="80">
        <v>0</v>
      </c>
      <c r="F7" s="77">
        <v>0</v>
      </c>
      <c r="G7" s="72">
        <f>F7*1000000/(0.5*Performance!$D$4*A7^3*PI()*$E$2^2)</f>
        <v>0</v>
      </c>
    </row>
    <row r="8" spans="1:7" ht="24" customHeight="1" x14ac:dyDescent="0.35">
      <c r="A8" s="79">
        <v>8</v>
      </c>
      <c r="B8" s="80">
        <v>7.7</v>
      </c>
      <c r="C8" s="76">
        <f t="shared" si="0"/>
        <v>0.69084628670120907</v>
      </c>
      <c r="D8" s="76">
        <f t="shared" si="1"/>
        <v>6.5970960867106889</v>
      </c>
      <c r="E8" s="80">
        <v>0</v>
      </c>
      <c r="F8" s="77">
        <v>0</v>
      </c>
      <c r="G8" s="72">
        <f>F8*1000000/(0.5*Performance!$D$4*A8^3*PI()*$E$2^2)</f>
        <v>0</v>
      </c>
    </row>
    <row r="9" spans="1:7" ht="24" customHeight="1" x14ac:dyDescent="0.35">
      <c r="A9" s="79">
        <v>9</v>
      </c>
      <c r="B9" s="80">
        <v>7.7</v>
      </c>
      <c r="C9" s="76">
        <f t="shared" si="0"/>
        <v>0.77720207253886009</v>
      </c>
      <c r="D9" s="76">
        <f t="shared" si="1"/>
        <v>7.4217330975495237</v>
      </c>
      <c r="E9" s="80">
        <v>0</v>
      </c>
      <c r="F9" s="77">
        <v>0</v>
      </c>
      <c r="G9" s="72">
        <f>F9*1000000/(0.5*Performance!$D$4*A9^3*PI()*$E$2^2)</f>
        <v>0</v>
      </c>
    </row>
    <row r="10" spans="1:7" ht="24" customHeight="1" x14ac:dyDescent="0.35">
      <c r="A10" s="79">
        <v>10</v>
      </c>
      <c r="B10" s="80">
        <v>7.7</v>
      </c>
      <c r="C10" s="76">
        <f t="shared" si="0"/>
        <v>0.86355785837651122</v>
      </c>
      <c r="D10" s="76">
        <f t="shared" si="1"/>
        <v>8.2463701083883603</v>
      </c>
      <c r="E10" s="80">
        <v>0</v>
      </c>
      <c r="F10" s="77">
        <v>0</v>
      </c>
      <c r="G10" s="72">
        <f>F10*1000000/(0.5*Performance!$D$4*A10^3*PI()*$E$2^2)</f>
        <v>0</v>
      </c>
    </row>
    <row r="11" spans="1:7" ht="24" customHeight="1" x14ac:dyDescent="0.35">
      <c r="A11" s="79">
        <v>11</v>
      </c>
      <c r="B11" s="80">
        <v>7.7</v>
      </c>
      <c r="C11" s="76">
        <f t="shared" si="0"/>
        <v>0.94991364421416247</v>
      </c>
      <c r="D11" s="76">
        <f t="shared" si="1"/>
        <v>9.0710071192271968</v>
      </c>
      <c r="E11" s="80">
        <v>0</v>
      </c>
      <c r="F11" s="77">
        <v>0</v>
      </c>
      <c r="G11" s="72">
        <f>F11*1000000/(0.5*Performance!$D$4*A11^3*PI()*$E$2^2)</f>
        <v>0</v>
      </c>
    </row>
    <row r="12" spans="1:7" ht="24" customHeight="1" x14ac:dyDescent="0.35">
      <c r="A12" s="81">
        <v>11.5</v>
      </c>
      <c r="B12" s="82">
        <v>7.7</v>
      </c>
      <c r="C12" s="76">
        <f t="shared" si="0"/>
        <v>0.99309153713298792</v>
      </c>
      <c r="D12" s="76">
        <f t="shared" si="1"/>
        <v>9.4833256246466142</v>
      </c>
      <c r="E12" s="82">
        <v>0</v>
      </c>
      <c r="F12" s="83">
        <v>0</v>
      </c>
      <c r="G12" s="72">
        <f>F12*1000000/(0.5*Performance!$D$4*A12^3*PI()*$E$2^2)</f>
        <v>0</v>
      </c>
    </row>
    <row r="13" spans="1:7" ht="24" customHeight="1" x14ac:dyDescent="0.35">
      <c r="A13" s="79">
        <v>12</v>
      </c>
      <c r="B13" s="80">
        <v>7.1669999999999998</v>
      </c>
      <c r="C13" s="76">
        <f t="shared" si="0"/>
        <v>0.96453805262095416</v>
      </c>
      <c r="D13" s="76">
        <f t="shared" si="1"/>
        <v>9.2106599324913301</v>
      </c>
      <c r="E13" s="80">
        <v>5.22</v>
      </c>
      <c r="F13" s="77">
        <v>0</v>
      </c>
      <c r="G13" s="72">
        <f>F13*1000000/(0.5*Performance!$D$4*A13^3*PI()*$E$2^2)</f>
        <v>0</v>
      </c>
    </row>
    <row r="14" spans="1:7" ht="24" customHeight="1" x14ac:dyDescent="0.35">
      <c r="A14" s="79">
        <v>13</v>
      </c>
      <c r="B14" s="80">
        <v>6.6159999999999997</v>
      </c>
      <c r="C14" s="76">
        <f t="shared" si="0"/>
        <v>0.9645829127694413</v>
      </c>
      <c r="D14" s="76">
        <f t="shared" si="1"/>
        <v>9.2110883153541057</v>
      </c>
      <c r="E14" s="80">
        <v>7.6239999999999997</v>
      </c>
      <c r="F14" s="77">
        <v>0</v>
      </c>
      <c r="G14" s="72">
        <f>F14*1000000/(0.5*Performance!$D$4*A14^3*PI()*$E$2^2)</f>
        <v>0</v>
      </c>
    </row>
    <row r="15" spans="1:7" ht="24" customHeight="1" x14ac:dyDescent="0.35">
      <c r="A15" s="79">
        <v>14</v>
      </c>
      <c r="B15" s="80">
        <v>6.1429999999999998</v>
      </c>
      <c r="C15" s="76">
        <f t="shared" si="0"/>
        <v>0.96451562254671064</v>
      </c>
      <c r="D15" s="76">
        <f t="shared" si="1"/>
        <v>9.2104457410599441</v>
      </c>
      <c r="E15" s="80">
        <v>9.4819999999999993</v>
      </c>
      <c r="F15" s="77">
        <v>0</v>
      </c>
      <c r="G15" s="72">
        <f>F15*1000000/(0.5*Performance!$D$4*A15^3*PI()*$E$2^2)</f>
        <v>0</v>
      </c>
    </row>
    <row r="16" spans="1:7" ht="24" customHeight="1" x14ac:dyDescent="0.35">
      <c r="A16" s="79">
        <v>15</v>
      </c>
      <c r="B16" s="80">
        <v>5.7338116907020771</v>
      </c>
      <c r="C16" s="76">
        <f t="shared" si="0"/>
        <v>0.96457366440718606</v>
      </c>
      <c r="D16" s="76">
        <f t="shared" si="1"/>
        <v>9.2109999999999985</v>
      </c>
      <c r="E16" s="80">
        <v>11.098000000000001</v>
      </c>
      <c r="F16" s="77">
        <v>0</v>
      </c>
      <c r="G16" s="72">
        <f>F16*1000000/(0.5*Performance!$D$4*A16^3*PI()*$E$2^2)</f>
        <v>0</v>
      </c>
    </row>
    <row r="17" spans="1:7" ht="24" customHeight="1" x14ac:dyDescent="0.35">
      <c r="A17" s="79">
        <v>16</v>
      </c>
      <c r="B17" s="80">
        <v>5.3754484600331978</v>
      </c>
      <c r="C17" s="76">
        <f t="shared" si="0"/>
        <v>0.96457366440718628</v>
      </c>
      <c r="D17" s="76">
        <f t="shared" si="1"/>
        <v>9.2110000000000003</v>
      </c>
      <c r="E17" s="80">
        <v>12.537000000000001</v>
      </c>
      <c r="F17" s="77">
        <v>0</v>
      </c>
      <c r="G17" s="72">
        <f>F17*1000000/(0.5*Performance!$D$4*A17^3*PI()*$E$2^2)</f>
        <v>0</v>
      </c>
    </row>
    <row r="18" spans="1:7" ht="24" customHeight="1" x14ac:dyDescent="0.35">
      <c r="A18" s="79">
        <v>17</v>
      </c>
      <c r="B18" s="80">
        <v>5.0592456094430105</v>
      </c>
      <c r="C18" s="76">
        <f t="shared" si="0"/>
        <v>0.96457366440718639</v>
      </c>
      <c r="D18" s="76">
        <f t="shared" si="1"/>
        <v>9.2110000000000021</v>
      </c>
      <c r="E18" s="80">
        <v>13.852</v>
      </c>
      <c r="F18" s="77">
        <v>0</v>
      </c>
      <c r="G18" s="72">
        <f>F18*1000000/(0.5*Performance!$D$4*A18^3*PI()*$E$2^2)</f>
        <v>0</v>
      </c>
    </row>
    <row r="19" spans="1:7" ht="24" customHeight="1" x14ac:dyDescent="0.35">
      <c r="A19" s="79">
        <v>18</v>
      </c>
      <c r="B19" s="80">
        <v>4.7781764089183945</v>
      </c>
      <c r="C19" s="76">
        <f t="shared" si="0"/>
        <v>0.96457366440718562</v>
      </c>
      <c r="D19" s="76">
        <f t="shared" si="1"/>
        <v>9.210999999999995</v>
      </c>
      <c r="E19" s="80">
        <v>15.125999999999999</v>
      </c>
      <c r="F19" s="77">
        <v>0</v>
      </c>
      <c r="G19" s="72">
        <f>F19*1000000/(0.5*Performance!$D$4*A19^3*PI()*$E$2^2)</f>
        <v>0</v>
      </c>
    </row>
    <row r="20" spans="1:7" ht="24" customHeight="1" x14ac:dyDescent="0.35">
      <c r="A20" s="79">
        <v>19</v>
      </c>
      <c r="B20" s="80">
        <v>4.5266934400279544</v>
      </c>
      <c r="C20" s="76">
        <f t="shared" si="0"/>
        <v>0.96457366440718595</v>
      </c>
      <c r="D20" s="76">
        <f t="shared" si="1"/>
        <v>9.2109999999999967</v>
      </c>
      <c r="E20" s="80">
        <v>16.286999999999999</v>
      </c>
      <c r="F20" s="77">
        <v>0</v>
      </c>
      <c r="G20" s="72">
        <f>F20*1000000/(0.5*Performance!$D$4*A20^3*PI()*$E$2^2)</f>
        <v>0</v>
      </c>
    </row>
    <row r="21" spans="1:7" ht="24" customHeight="1" x14ac:dyDescent="0.35">
      <c r="A21" s="79">
        <v>20</v>
      </c>
      <c r="B21" s="80">
        <v>4.3003587680265571</v>
      </c>
      <c r="C21" s="76">
        <f t="shared" si="0"/>
        <v>0.96457366440718595</v>
      </c>
      <c r="D21" s="76">
        <f t="shared" si="1"/>
        <v>9.2109999999999967</v>
      </c>
      <c r="E21" s="80">
        <v>17.425000000000001</v>
      </c>
      <c r="F21" s="77">
        <v>0</v>
      </c>
      <c r="G21" s="72">
        <f>F21*1000000/(0.5*Performance!$D$4*A21^3*PI()*$E$2^2)</f>
        <v>0</v>
      </c>
    </row>
    <row r="22" spans="1:7" ht="24" customHeight="1" x14ac:dyDescent="0.35">
      <c r="A22" s="79">
        <v>21</v>
      </c>
      <c r="B22" s="80">
        <v>4.0955797790729118</v>
      </c>
      <c r="C22" s="76">
        <f t="shared" si="0"/>
        <v>0.96457366440718606</v>
      </c>
      <c r="D22" s="76">
        <f t="shared" si="1"/>
        <v>9.2109999999999985</v>
      </c>
      <c r="E22" s="80">
        <v>18.486000000000001</v>
      </c>
      <c r="F22" s="77">
        <v>0</v>
      </c>
      <c r="G22" s="72">
        <f>F22*1000000/(0.5*Performance!$D$4*A22^3*PI()*$E$2^2)</f>
        <v>0</v>
      </c>
    </row>
    <row r="23" spans="1:7" ht="24" customHeight="1" x14ac:dyDescent="0.35">
      <c r="A23" s="79">
        <v>22</v>
      </c>
      <c r="B23" s="80">
        <v>3.9094170618423267</v>
      </c>
      <c r="C23" s="76">
        <f t="shared" si="0"/>
        <v>0.9645736644071865</v>
      </c>
      <c r="D23" s="76">
        <f t="shared" si="1"/>
        <v>9.2110000000000039</v>
      </c>
      <c r="E23" s="80">
        <v>19.55</v>
      </c>
      <c r="F23" s="77">
        <v>0</v>
      </c>
      <c r="G23" s="72">
        <f>F23*1000000/(0.5*Performance!$D$4*A23^3*PI()*$E$2^2)</f>
        <v>0</v>
      </c>
    </row>
    <row r="24" spans="1:7" ht="24" customHeight="1" x14ac:dyDescent="0.35">
      <c r="A24" s="79">
        <v>23</v>
      </c>
      <c r="B24" s="80">
        <v>3.7394424069796148</v>
      </c>
      <c r="C24" s="76">
        <f t="shared" si="0"/>
        <v>0.96457366440718595</v>
      </c>
      <c r="D24" s="76">
        <f t="shared" si="1"/>
        <v>9.2109999999999967</v>
      </c>
      <c r="E24" s="80">
        <v>20.56</v>
      </c>
      <c r="F24" s="77">
        <v>0</v>
      </c>
      <c r="G24" s="72">
        <f>F24*1000000/(0.5*Performance!$D$4*A24^3*PI()*$E$2^2)</f>
        <v>0</v>
      </c>
    </row>
    <row r="25" spans="1:7" ht="24" customHeight="1" x14ac:dyDescent="0.35">
      <c r="A25" s="79">
        <v>24</v>
      </c>
      <c r="B25" s="80">
        <v>3.5836323066888003</v>
      </c>
      <c r="C25" s="76">
        <f t="shared" si="0"/>
        <v>0.96457366440718673</v>
      </c>
      <c r="D25" s="76">
        <f t="shared" si="1"/>
        <v>9.2110000000000056</v>
      </c>
      <c r="E25" s="80">
        <v>21.544</v>
      </c>
      <c r="F25" s="77">
        <v>0</v>
      </c>
      <c r="G25" s="72">
        <f>F25*1000000/(0.5*Performance!$D$4*A25^3*PI()*$E$2^2)</f>
        <v>0</v>
      </c>
    </row>
    <row r="26" spans="1:7" ht="24" customHeight="1" x14ac:dyDescent="0.35">
      <c r="A26" s="79">
        <v>25</v>
      </c>
      <c r="B26" s="80">
        <v>3.4402870144212465</v>
      </c>
      <c r="C26" s="76">
        <f t="shared" si="0"/>
        <v>0.96457366440718628</v>
      </c>
      <c r="D26" s="76">
        <f t="shared" si="1"/>
        <v>9.2110000000000003</v>
      </c>
      <c r="E26" s="80">
        <v>22.484999999999999</v>
      </c>
      <c r="F26" s="77">
        <v>0</v>
      </c>
      <c r="G26" s="72">
        <f>F26*1000000/(0.5*Performance!$D$4*A26^3*PI()*$E$2^2)</f>
        <v>0</v>
      </c>
    </row>
  </sheetData>
  <sheetProtection algorithmName="SHA-512" hashValue="6o7ZlvpRbEvNLbyqb9Yi7l+MeMwE9vPdeRg3Mb356PtKKq6D8Igq5E46gsXSzqKs/Ly67hFbMx1zuoWsEkgBKA==" saltValue="PHRx3ZYJYcDeFV2BbloHcg==" spinCount="100000" sheet="1" objects="1" scenarios="1"/>
  <mergeCells count="1">
    <mergeCell ref="C2:D2"/>
  </mergeCells>
  <phoneticPr fontId="1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BLD</vt:lpstr>
      <vt:lpstr>ARFL</vt:lpstr>
      <vt:lpstr>TipLoss</vt:lpstr>
      <vt:lpstr>Performance</vt:lpstr>
      <vt:lpstr>OpCurve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Xiaosheng Chen</dc:creator>
  <cp:lastModifiedBy>Xiaosheng Chen</cp:lastModifiedBy>
  <dcterms:created xsi:type="dcterms:W3CDTF">2015-06-05T18:17:20Z</dcterms:created>
  <dcterms:modified xsi:type="dcterms:W3CDTF">2024-12-04T13:24:34Z</dcterms:modified>
</cp:coreProperties>
</file>